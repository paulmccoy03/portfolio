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m\OneDrive\Desktop\Portfolio\Excel work\"/>
    </mc:Choice>
  </mc:AlternateContent>
  <xr:revisionPtr revIDLastSave="0" documentId="13_ncr:1_{C1D3BB8E-8614-4D63-A586-09D655C87F5F}" xr6:coauthVersionLast="47" xr6:coauthVersionMax="47" xr10:uidLastSave="{00000000-0000-0000-0000-000000000000}"/>
  <bookViews>
    <workbookView xWindow="1950" yWindow="1950" windowWidth="21600" windowHeight="11295" activeTab="7" xr2:uid="{555B496F-664A-4F83-B4C6-A6D8B124787A}"/>
  </bookViews>
  <sheets>
    <sheet name="Heinz-Kraft Merger" sheetId="4" r:id="rId1"/>
    <sheet name="As Reported" sheetId="1" r:id="rId2"/>
    <sheet name="Reclassified" sheetId="2" r:id="rId3"/>
    <sheet name="Cash flow profile" sheetId="5" r:id="rId4"/>
    <sheet name="Liquidity" sheetId="7" r:id="rId5"/>
    <sheet name="Cap. Structure" sheetId="8" r:id="rId6"/>
    <sheet name="Profitability" sheetId="10" r:id="rId7"/>
    <sheet name="NICO+Recommendation" sheetId="13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5" i="13" l="1"/>
  <c r="C364" i="13"/>
  <c r="C359" i="13"/>
  <c r="D336" i="13"/>
  <c r="E336" i="13"/>
  <c r="F336" i="13"/>
  <c r="G336" i="13"/>
  <c r="H336" i="13"/>
  <c r="C336" i="13"/>
  <c r="I313" i="13"/>
  <c r="D313" i="13"/>
  <c r="E313" i="13"/>
  <c r="F313" i="13"/>
  <c r="G313" i="13"/>
  <c r="H313" i="13"/>
  <c r="C313" i="13"/>
  <c r="D282" i="13"/>
  <c r="E282" i="13"/>
  <c r="F282" i="13"/>
  <c r="G282" i="13"/>
  <c r="H282" i="13"/>
  <c r="C282" i="13"/>
  <c r="D97" i="13"/>
  <c r="E97" i="13"/>
  <c r="F97" i="13"/>
  <c r="G97" i="13"/>
  <c r="H97" i="13"/>
  <c r="C97" i="13"/>
  <c r="D95" i="13"/>
  <c r="E95" i="13"/>
  <c r="F95" i="13"/>
  <c r="G95" i="13"/>
  <c r="H95" i="13"/>
  <c r="C95" i="13"/>
  <c r="D94" i="13"/>
  <c r="E94" i="13"/>
  <c r="F94" i="13"/>
  <c r="G94" i="13"/>
  <c r="H94" i="13"/>
  <c r="C94" i="13"/>
  <c r="D92" i="13"/>
  <c r="E92" i="13"/>
  <c r="F92" i="13"/>
  <c r="G92" i="13"/>
  <c r="H92" i="13"/>
  <c r="C92" i="13"/>
  <c r="D91" i="13"/>
  <c r="E91" i="13"/>
  <c r="F91" i="13"/>
  <c r="G91" i="13"/>
  <c r="H91" i="13"/>
  <c r="C91" i="13"/>
  <c r="D90" i="13"/>
  <c r="E90" i="13"/>
  <c r="F90" i="13"/>
  <c r="G90" i="13"/>
  <c r="H90" i="13"/>
  <c r="C90" i="13"/>
  <c r="D89" i="13"/>
  <c r="E89" i="13"/>
  <c r="F89" i="13"/>
  <c r="G89" i="13"/>
  <c r="H89" i="13"/>
  <c r="C89" i="13"/>
  <c r="D88" i="13"/>
  <c r="E88" i="13"/>
  <c r="F88" i="13"/>
  <c r="G88" i="13"/>
  <c r="H88" i="13"/>
  <c r="C88" i="13"/>
  <c r="D87" i="13"/>
  <c r="E87" i="13"/>
  <c r="F87" i="13"/>
  <c r="G87" i="13"/>
  <c r="H87" i="13"/>
  <c r="C87" i="13"/>
  <c r="D389" i="13"/>
  <c r="E389" i="13"/>
  <c r="F389" i="13"/>
  <c r="G389" i="13"/>
  <c r="H389" i="13"/>
  <c r="C389" i="13"/>
  <c r="H73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307" i="13"/>
  <c r="C73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307" i="13"/>
  <c r="I307" i="13"/>
  <c r="C312" i="13"/>
  <c r="D60" i="13"/>
  <c r="D61" i="13"/>
  <c r="D62" i="13"/>
  <c r="D63" i="13"/>
  <c r="D64" i="13"/>
  <c r="D65" i="13"/>
  <c r="D66" i="13"/>
  <c r="D67" i="13"/>
  <c r="D68" i="13"/>
  <c r="D69" i="13"/>
  <c r="D312" i="13"/>
  <c r="E60" i="13"/>
  <c r="E61" i="13"/>
  <c r="E62" i="13"/>
  <c r="E63" i="13"/>
  <c r="E64" i="13"/>
  <c r="E65" i="13"/>
  <c r="E66" i="13"/>
  <c r="E67" i="13"/>
  <c r="E68" i="13"/>
  <c r="E69" i="13"/>
  <c r="E312" i="13"/>
  <c r="F60" i="13"/>
  <c r="F61" i="13"/>
  <c r="F62" i="13"/>
  <c r="F63" i="13"/>
  <c r="F64" i="13"/>
  <c r="F65" i="13"/>
  <c r="F66" i="13"/>
  <c r="F67" i="13"/>
  <c r="F68" i="13"/>
  <c r="F69" i="13"/>
  <c r="F312" i="13"/>
  <c r="G60" i="13"/>
  <c r="G61" i="13"/>
  <c r="G62" i="13"/>
  <c r="G63" i="13"/>
  <c r="G64" i="13"/>
  <c r="G65" i="13"/>
  <c r="G66" i="13"/>
  <c r="G67" i="13"/>
  <c r="G68" i="13"/>
  <c r="G69" i="13"/>
  <c r="G312" i="13"/>
  <c r="H312" i="13"/>
  <c r="I312" i="13"/>
  <c r="D216" i="13"/>
  <c r="D252" i="13"/>
  <c r="E216" i="13"/>
  <c r="E252" i="13"/>
  <c r="F216" i="13"/>
  <c r="F252" i="13"/>
  <c r="G216" i="13"/>
  <c r="G252" i="13"/>
  <c r="H216" i="13"/>
  <c r="H252" i="13"/>
  <c r="C216" i="13"/>
  <c r="C252" i="13"/>
  <c r="S155" i="13"/>
  <c r="S153" i="13"/>
  <c r="C142" i="13"/>
  <c r="H142" i="13"/>
  <c r="S142" i="13"/>
  <c r="S122" i="13"/>
  <c r="H75" i="13"/>
  <c r="C75" i="13"/>
  <c r="S75" i="13"/>
  <c r="S73" i="13"/>
  <c r="C366" i="10"/>
  <c r="D366" i="10"/>
  <c r="E366" i="10"/>
  <c r="F366" i="10"/>
  <c r="G366" i="10"/>
  <c r="B366" i="10"/>
  <c r="C300" i="10"/>
  <c r="C264" i="10"/>
  <c r="D300" i="10"/>
  <c r="D264" i="10"/>
  <c r="E300" i="10"/>
  <c r="E264" i="10"/>
  <c r="F300" i="10"/>
  <c r="F264" i="10"/>
  <c r="G300" i="10"/>
  <c r="G264" i="10"/>
  <c r="B300" i="10"/>
  <c r="B264" i="10"/>
  <c r="C214" i="7"/>
  <c r="D214" i="7"/>
  <c r="E214" i="7"/>
  <c r="F214" i="7"/>
  <c r="G214" i="7"/>
  <c r="B214" i="7"/>
  <c r="B214" i="8"/>
  <c r="C250" i="8"/>
  <c r="D250" i="8"/>
  <c r="E250" i="8"/>
  <c r="F250" i="8"/>
  <c r="G250" i="8"/>
  <c r="B250" i="8"/>
  <c r="C287" i="8"/>
  <c r="D287" i="8"/>
  <c r="E287" i="8"/>
  <c r="F287" i="8"/>
  <c r="G287" i="8"/>
  <c r="B287" i="8"/>
  <c r="B276" i="7"/>
  <c r="B10" i="7"/>
  <c r="B11" i="7"/>
  <c r="B18" i="7"/>
  <c r="B280" i="7"/>
  <c r="B19" i="7"/>
  <c r="B283" i="7"/>
  <c r="B284" i="7"/>
  <c r="B20" i="7"/>
  <c r="B21" i="7"/>
  <c r="C276" i="7"/>
  <c r="C10" i="7"/>
  <c r="C11" i="7"/>
  <c r="C18" i="7"/>
  <c r="C280" i="7"/>
  <c r="C19" i="7"/>
  <c r="C283" i="7"/>
  <c r="C284" i="7"/>
  <c r="C20" i="7"/>
  <c r="C21" i="7"/>
  <c r="D276" i="7"/>
  <c r="D10" i="7"/>
  <c r="D11" i="7"/>
  <c r="D18" i="7"/>
  <c r="D280" i="7"/>
  <c r="D19" i="7"/>
  <c r="D283" i="7"/>
  <c r="D284" i="7"/>
  <c r="D20" i="7"/>
  <c r="D21" i="7"/>
  <c r="E276" i="7"/>
  <c r="E10" i="7"/>
  <c r="E11" i="7"/>
  <c r="E18" i="7"/>
  <c r="E280" i="7"/>
  <c r="E19" i="7"/>
  <c r="E283" i="7"/>
  <c r="E284" i="7"/>
  <c r="E20" i="7"/>
  <c r="E21" i="7"/>
  <c r="F276" i="7"/>
  <c r="F10" i="7"/>
  <c r="F11" i="7"/>
  <c r="F18" i="7"/>
  <c r="F280" i="7"/>
  <c r="F19" i="7"/>
  <c r="F283" i="7"/>
  <c r="F284" i="7"/>
  <c r="F20" i="7"/>
  <c r="F21" i="7"/>
  <c r="G276" i="7"/>
  <c r="G10" i="7"/>
  <c r="G11" i="7"/>
  <c r="G18" i="7"/>
  <c r="G280" i="7"/>
  <c r="G19" i="7"/>
  <c r="G283" i="7"/>
  <c r="G284" i="7"/>
  <c r="G20" i="7"/>
  <c r="G21" i="7"/>
  <c r="B12" i="7"/>
  <c r="C12" i="7"/>
  <c r="D12" i="7"/>
  <c r="E12" i="7"/>
  <c r="F12" i="7"/>
  <c r="G12" i="7"/>
  <c r="B13" i="7"/>
  <c r="C13" i="7"/>
  <c r="D13" i="7"/>
  <c r="E13" i="7"/>
  <c r="F13" i="7"/>
  <c r="G13" i="7"/>
  <c r="B259" i="7"/>
  <c r="B257" i="7"/>
  <c r="B256" i="7"/>
  <c r="B14" i="7"/>
  <c r="C259" i="7"/>
  <c r="C257" i="7"/>
  <c r="C256" i="7"/>
  <c r="C14" i="7"/>
  <c r="D259" i="7"/>
  <c r="D257" i="7"/>
  <c r="D256" i="7"/>
  <c r="D14" i="7"/>
  <c r="E259" i="7"/>
  <c r="E257" i="7"/>
  <c r="E256" i="7"/>
  <c r="E14" i="7"/>
  <c r="F259" i="7"/>
  <c r="F257" i="7"/>
  <c r="F256" i="7"/>
  <c r="F14" i="7"/>
  <c r="G259" i="7"/>
  <c r="G257" i="7"/>
  <c r="G256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288" i="7"/>
  <c r="B23" i="7"/>
  <c r="C288" i="7"/>
  <c r="C23" i="7"/>
  <c r="D288" i="7"/>
  <c r="D23" i="7"/>
  <c r="E288" i="7"/>
  <c r="E23" i="7"/>
  <c r="F288" i="7"/>
  <c r="F23" i="7"/>
  <c r="G288" i="7"/>
  <c r="G23" i="7"/>
  <c r="B26" i="7"/>
  <c r="C26" i="7"/>
  <c r="D26" i="7"/>
  <c r="E26" i="7"/>
  <c r="F26" i="7"/>
  <c r="G26" i="7"/>
  <c r="B295" i="7"/>
  <c r="B296" i="7"/>
  <c r="B27" i="7"/>
  <c r="C295" i="7"/>
  <c r="C296" i="7"/>
  <c r="C27" i="7"/>
  <c r="D295" i="7"/>
  <c r="D296" i="7"/>
  <c r="D27" i="7"/>
  <c r="E295" i="7"/>
  <c r="E296" i="7"/>
  <c r="E27" i="7"/>
  <c r="F295" i="7"/>
  <c r="F296" i="7"/>
  <c r="F27" i="7"/>
  <c r="G295" i="7"/>
  <c r="G296" i="7"/>
  <c r="G27" i="7"/>
  <c r="B28" i="7"/>
  <c r="C28" i="7"/>
  <c r="D28" i="7"/>
  <c r="E28" i="7"/>
  <c r="F28" i="7"/>
  <c r="G28" i="7"/>
  <c r="B30" i="7"/>
  <c r="C30" i="7"/>
  <c r="D30" i="7"/>
  <c r="E30" i="7"/>
  <c r="F30" i="7"/>
  <c r="G30" i="7"/>
  <c r="B302" i="7"/>
  <c r="B303" i="7"/>
  <c r="B31" i="7"/>
  <c r="C302" i="7"/>
  <c r="C303" i="7"/>
  <c r="C31" i="7"/>
  <c r="D302" i="7"/>
  <c r="D303" i="7"/>
  <c r="D31" i="7"/>
  <c r="E302" i="7"/>
  <c r="E303" i="7"/>
  <c r="E31" i="7"/>
  <c r="F302" i="7"/>
  <c r="F303" i="7"/>
  <c r="F31" i="7"/>
  <c r="G302" i="7"/>
  <c r="G303" i="7"/>
  <c r="G31" i="7"/>
  <c r="B32" i="7"/>
  <c r="C32" i="7"/>
  <c r="D32" i="7"/>
  <c r="E32" i="7"/>
  <c r="F32" i="7"/>
  <c r="G32" i="7"/>
  <c r="B311" i="7"/>
  <c r="B34" i="7"/>
  <c r="C311" i="7"/>
  <c r="C34" i="7"/>
  <c r="D311" i="7"/>
  <c r="D34" i="7"/>
  <c r="E311" i="7"/>
  <c r="E34" i="7"/>
  <c r="F311" i="7"/>
  <c r="F34" i="7"/>
  <c r="G311" i="7"/>
  <c r="G34" i="7"/>
  <c r="B35" i="7"/>
  <c r="C35" i="7"/>
  <c r="D35" i="7"/>
  <c r="E35" i="7"/>
  <c r="F35" i="7"/>
  <c r="G35" i="7"/>
  <c r="B36" i="7"/>
  <c r="C36" i="7"/>
  <c r="D36" i="7"/>
  <c r="E36" i="7"/>
  <c r="F36" i="7"/>
  <c r="G36" i="7"/>
  <c r="B39" i="7"/>
  <c r="C39" i="7"/>
  <c r="D39" i="7"/>
  <c r="E39" i="7"/>
  <c r="F39" i="7"/>
  <c r="G39" i="7"/>
  <c r="B41" i="7"/>
  <c r="C41" i="7"/>
  <c r="D41" i="7"/>
  <c r="E41" i="7"/>
  <c r="F41" i="7"/>
  <c r="G41" i="7"/>
  <c r="A43" i="7"/>
  <c r="A45" i="7"/>
  <c r="A46" i="7"/>
  <c r="B47" i="7"/>
  <c r="C47" i="7"/>
  <c r="D47" i="7"/>
  <c r="E47" i="7"/>
  <c r="F47" i="7"/>
  <c r="G47" i="7"/>
  <c r="H47" i="7"/>
  <c r="H48" i="7"/>
  <c r="B49" i="7"/>
  <c r="C49" i="7"/>
  <c r="D49" i="7"/>
  <c r="E49" i="7"/>
  <c r="F49" i="7"/>
  <c r="G49" i="7"/>
  <c r="H49" i="7"/>
  <c r="H50" i="7"/>
  <c r="B54" i="7"/>
  <c r="C54" i="7"/>
  <c r="B53" i="7"/>
  <c r="B52" i="7"/>
  <c r="B51" i="7"/>
  <c r="D54" i="7"/>
  <c r="C53" i="7"/>
  <c r="C52" i="7"/>
  <c r="C51" i="7"/>
  <c r="E54" i="7"/>
  <c r="D53" i="7"/>
  <c r="D52" i="7"/>
  <c r="D51" i="7"/>
  <c r="F54" i="7"/>
  <c r="E53" i="7"/>
  <c r="E52" i="7"/>
  <c r="E51" i="7"/>
  <c r="G54" i="7"/>
  <c r="F53" i="7"/>
  <c r="F52" i="7"/>
  <c r="F51" i="7"/>
  <c r="G52" i="7"/>
  <c r="G51" i="7"/>
  <c r="H51" i="7"/>
  <c r="H52" i="7"/>
  <c r="H53" i="7"/>
  <c r="H54" i="7"/>
  <c r="A56" i="7"/>
  <c r="B56" i="7"/>
  <c r="A58" i="7"/>
  <c r="A59" i="7"/>
  <c r="H60" i="7"/>
  <c r="H61" i="7"/>
  <c r="B62" i="7"/>
  <c r="C62" i="7"/>
  <c r="D62" i="7"/>
  <c r="E62" i="7"/>
  <c r="F62" i="7"/>
  <c r="G62" i="7"/>
  <c r="H62" i="7"/>
  <c r="B314" i="7"/>
  <c r="B315" i="7"/>
  <c r="B316" i="7"/>
  <c r="B63" i="7"/>
  <c r="C314" i="7"/>
  <c r="C315" i="7"/>
  <c r="C316" i="7"/>
  <c r="C63" i="7"/>
  <c r="D314" i="7"/>
  <c r="D315" i="7"/>
  <c r="D316" i="7"/>
  <c r="D63" i="7"/>
  <c r="E314" i="7"/>
  <c r="E315" i="7"/>
  <c r="E316" i="7"/>
  <c r="E63" i="7"/>
  <c r="F314" i="7"/>
  <c r="F315" i="7"/>
  <c r="F316" i="7"/>
  <c r="F63" i="7"/>
  <c r="G314" i="7"/>
  <c r="G315" i="7"/>
  <c r="G316" i="7"/>
  <c r="G63" i="7"/>
  <c r="H63" i="7"/>
  <c r="B64" i="7"/>
  <c r="C64" i="7"/>
  <c r="D64" i="7"/>
  <c r="E64" i="7"/>
  <c r="F64" i="7"/>
  <c r="G64" i="7"/>
  <c r="H64" i="7"/>
  <c r="B65" i="7"/>
  <c r="C65" i="7"/>
  <c r="D65" i="7"/>
  <c r="E65" i="7"/>
  <c r="F65" i="7"/>
  <c r="G65" i="7"/>
  <c r="H65" i="7"/>
  <c r="H66" i="7"/>
  <c r="H67" i="7"/>
  <c r="B68" i="7"/>
  <c r="C68" i="7"/>
  <c r="D68" i="7"/>
  <c r="E68" i="7"/>
  <c r="F68" i="7"/>
  <c r="G68" i="7"/>
  <c r="H68" i="7"/>
  <c r="B69" i="7"/>
  <c r="C69" i="7"/>
  <c r="D69" i="7"/>
  <c r="E69" i="7"/>
  <c r="F69" i="7"/>
  <c r="G69" i="7"/>
  <c r="H69" i="7"/>
  <c r="H70" i="7"/>
  <c r="H71" i="7"/>
  <c r="B72" i="7"/>
  <c r="C72" i="7"/>
  <c r="D72" i="7"/>
  <c r="E72" i="7"/>
  <c r="F72" i="7"/>
  <c r="G72" i="7"/>
  <c r="H72" i="7"/>
  <c r="H73" i="7"/>
  <c r="B74" i="7"/>
  <c r="C74" i="7"/>
  <c r="D74" i="7"/>
  <c r="E74" i="7"/>
  <c r="F74" i="7"/>
  <c r="G74" i="7"/>
  <c r="H74" i="7"/>
  <c r="H75" i="7"/>
  <c r="B76" i="7"/>
  <c r="C76" i="7"/>
  <c r="D76" i="7"/>
  <c r="E76" i="7"/>
  <c r="F76" i="7"/>
  <c r="G76" i="7"/>
  <c r="H76" i="7"/>
  <c r="B77" i="7"/>
  <c r="C77" i="7"/>
  <c r="D77" i="7"/>
  <c r="E77" i="7"/>
  <c r="F77" i="7"/>
  <c r="G77" i="7"/>
  <c r="B79" i="7"/>
  <c r="C79" i="7"/>
  <c r="D79" i="7"/>
  <c r="E79" i="7"/>
  <c r="F79" i="7"/>
  <c r="G79" i="7"/>
  <c r="B82" i="7"/>
  <c r="C82" i="7"/>
  <c r="D82" i="7"/>
  <c r="E82" i="7"/>
  <c r="F82" i="7"/>
  <c r="G82" i="7"/>
  <c r="H82" i="7"/>
  <c r="B85" i="7"/>
  <c r="C85" i="7"/>
  <c r="D85" i="7"/>
  <c r="E85" i="7"/>
  <c r="F85" i="7"/>
  <c r="G85" i="7"/>
  <c r="B86" i="7"/>
  <c r="C86" i="7"/>
  <c r="D86" i="7"/>
  <c r="E86" i="7"/>
  <c r="F86" i="7"/>
  <c r="G86" i="7"/>
  <c r="B87" i="7"/>
  <c r="C87" i="7"/>
  <c r="D87" i="7"/>
  <c r="E87" i="7"/>
  <c r="F87" i="7"/>
  <c r="G87" i="7"/>
  <c r="B88" i="7"/>
  <c r="C88" i="7"/>
  <c r="D88" i="7"/>
  <c r="E88" i="7"/>
  <c r="F88" i="7"/>
  <c r="G88" i="7"/>
  <c r="B89" i="7"/>
  <c r="C89" i="7"/>
  <c r="D89" i="7"/>
  <c r="E89" i="7"/>
  <c r="F89" i="7"/>
  <c r="G89" i="7"/>
  <c r="B90" i="7"/>
  <c r="C90" i="7"/>
  <c r="D90" i="7"/>
  <c r="E90" i="7"/>
  <c r="F90" i="7"/>
  <c r="G90" i="7"/>
  <c r="B92" i="7"/>
  <c r="C92" i="7"/>
  <c r="D92" i="7"/>
  <c r="E92" i="7"/>
  <c r="F92" i="7"/>
  <c r="G92" i="7"/>
  <c r="B93" i="7"/>
  <c r="C93" i="7"/>
  <c r="D93" i="7"/>
  <c r="E93" i="7"/>
  <c r="F93" i="7"/>
  <c r="G93" i="7"/>
  <c r="B94" i="7"/>
  <c r="C94" i="7"/>
  <c r="D94" i="7"/>
  <c r="E94" i="7"/>
  <c r="F94" i="7"/>
  <c r="G94" i="7"/>
  <c r="B95" i="7"/>
  <c r="C95" i="7"/>
  <c r="D95" i="7"/>
  <c r="E95" i="7"/>
  <c r="F95" i="7"/>
  <c r="G95" i="7"/>
  <c r="A97" i="7"/>
  <c r="B97" i="7"/>
  <c r="A99" i="7"/>
  <c r="A100" i="7"/>
  <c r="B101" i="7"/>
  <c r="C101" i="7"/>
  <c r="D101" i="7"/>
  <c r="E101" i="7"/>
  <c r="F101" i="7"/>
  <c r="G101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B114" i="7"/>
  <c r="C114" i="7"/>
  <c r="D114" i="7"/>
  <c r="E114" i="7"/>
  <c r="F114" i="7"/>
  <c r="G114" i="7"/>
  <c r="H114" i="7"/>
  <c r="H115" i="7"/>
  <c r="H116" i="7"/>
  <c r="H117" i="7"/>
  <c r="H118" i="7"/>
  <c r="H119" i="7"/>
  <c r="H120" i="7"/>
  <c r="B121" i="7"/>
  <c r="C121" i="7"/>
  <c r="D121" i="7"/>
  <c r="E121" i="7"/>
  <c r="F121" i="7"/>
  <c r="G121" i="7"/>
  <c r="H121" i="7"/>
  <c r="B123" i="7"/>
  <c r="C123" i="7"/>
  <c r="D123" i="7"/>
  <c r="E123" i="7"/>
  <c r="F123" i="7"/>
  <c r="G123" i="7"/>
  <c r="H123" i="7"/>
  <c r="B124" i="7"/>
  <c r="C124" i="7"/>
  <c r="D124" i="7"/>
  <c r="E124" i="7"/>
  <c r="F124" i="7"/>
  <c r="G124" i="7"/>
  <c r="H124" i="7"/>
  <c r="B125" i="7"/>
  <c r="C125" i="7"/>
  <c r="D125" i="7"/>
  <c r="E125" i="7"/>
  <c r="F125" i="7"/>
  <c r="G125" i="7"/>
  <c r="H125" i="7"/>
  <c r="B126" i="7"/>
  <c r="C126" i="7"/>
  <c r="D126" i="7"/>
  <c r="E126" i="7"/>
  <c r="F126" i="7"/>
  <c r="G126" i="7"/>
  <c r="H126" i="7"/>
  <c r="B127" i="7"/>
  <c r="C127" i="7"/>
  <c r="D127" i="7"/>
  <c r="E127" i="7"/>
  <c r="F127" i="7"/>
  <c r="G127" i="7"/>
  <c r="H127" i="7"/>
  <c r="B128" i="7"/>
  <c r="C128" i="7"/>
  <c r="D128" i="7"/>
  <c r="E128" i="7"/>
  <c r="F128" i="7"/>
  <c r="G128" i="7"/>
  <c r="H128" i="7"/>
  <c r="B129" i="7"/>
  <c r="C129" i="7"/>
  <c r="D129" i="7"/>
  <c r="E129" i="7"/>
  <c r="F129" i="7"/>
  <c r="G129" i="7"/>
  <c r="H129" i="7"/>
  <c r="B130" i="7"/>
  <c r="C130" i="7"/>
  <c r="D130" i="7"/>
  <c r="E130" i="7"/>
  <c r="F130" i="7"/>
  <c r="G130" i="7"/>
  <c r="H130" i="7"/>
  <c r="B132" i="7"/>
  <c r="B131" i="7"/>
  <c r="C132" i="7"/>
  <c r="C131" i="7"/>
  <c r="D132" i="7"/>
  <c r="D131" i="7"/>
  <c r="E132" i="7"/>
  <c r="E131" i="7"/>
  <c r="F132" i="7"/>
  <c r="F131" i="7"/>
  <c r="G132" i="7"/>
  <c r="G131" i="7"/>
  <c r="H131" i="7"/>
  <c r="H132" i="7"/>
  <c r="H134" i="7"/>
  <c r="H135" i="7"/>
  <c r="H136" i="7"/>
  <c r="H137" i="7"/>
  <c r="H138" i="7"/>
  <c r="H139" i="7"/>
  <c r="B140" i="7"/>
  <c r="C140" i="7"/>
  <c r="D140" i="7"/>
  <c r="E140" i="7"/>
  <c r="F140" i="7"/>
  <c r="G140" i="7"/>
  <c r="H140" i="7"/>
  <c r="H142" i="7"/>
  <c r="H143" i="7"/>
  <c r="H144" i="7"/>
  <c r="H145" i="7"/>
  <c r="H146" i="7"/>
  <c r="H147" i="7"/>
  <c r="H148" i="7"/>
  <c r="B149" i="7"/>
  <c r="C149" i="7"/>
  <c r="D149" i="7"/>
  <c r="E149" i="7"/>
  <c r="F149" i="7"/>
  <c r="G149" i="7"/>
  <c r="H149" i="7"/>
  <c r="H150" i="7"/>
  <c r="H151" i="7"/>
  <c r="B152" i="7"/>
  <c r="C152" i="7"/>
  <c r="D152" i="7"/>
  <c r="E152" i="7"/>
  <c r="F152" i="7"/>
  <c r="G152" i="7"/>
  <c r="H152" i="7"/>
  <c r="H153" i="7"/>
  <c r="B154" i="7"/>
  <c r="C154" i="7"/>
  <c r="D154" i="7"/>
  <c r="E154" i="7"/>
  <c r="F154" i="7"/>
  <c r="G154" i="7"/>
  <c r="H154" i="7"/>
  <c r="D156" i="7"/>
  <c r="C155" i="7"/>
  <c r="C156" i="7"/>
  <c r="B155" i="7"/>
  <c r="F156" i="7"/>
  <c r="E155" i="7"/>
  <c r="H155" i="7"/>
  <c r="B156" i="7"/>
  <c r="E156" i="7"/>
  <c r="G156" i="7"/>
  <c r="H156" i="7"/>
  <c r="B157" i="7"/>
  <c r="C157" i="7"/>
  <c r="D157" i="7"/>
  <c r="E157" i="7"/>
  <c r="F157" i="7"/>
  <c r="G157" i="7"/>
  <c r="A162" i="7"/>
  <c r="B162" i="7"/>
  <c r="A164" i="7"/>
  <c r="A165" i="7"/>
  <c r="B166" i="7"/>
  <c r="C166" i="7"/>
  <c r="D166" i="7"/>
  <c r="E166" i="7"/>
  <c r="F166" i="7"/>
  <c r="G166" i="7"/>
  <c r="H166" i="7"/>
  <c r="B168" i="7"/>
  <c r="B167" i="7"/>
  <c r="C168" i="7"/>
  <c r="C167" i="7"/>
  <c r="D168" i="7"/>
  <c r="D167" i="7"/>
  <c r="E168" i="7"/>
  <c r="E167" i="7"/>
  <c r="F168" i="7"/>
  <c r="F167" i="7"/>
  <c r="G168" i="7"/>
  <c r="G167" i="7"/>
  <c r="H168" i="7"/>
  <c r="H167" i="7"/>
  <c r="B170" i="7"/>
  <c r="B169" i="7"/>
  <c r="C170" i="7"/>
  <c r="C169" i="7"/>
  <c r="D170" i="7"/>
  <c r="D169" i="7"/>
  <c r="E170" i="7"/>
  <c r="E169" i="7"/>
  <c r="F170" i="7"/>
  <c r="F169" i="7"/>
  <c r="G170" i="7"/>
  <c r="G169" i="7"/>
  <c r="H169" i="7"/>
  <c r="H170" i="7"/>
  <c r="B171" i="7"/>
  <c r="C171" i="7"/>
  <c r="D171" i="7"/>
  <c r="E171" i="7"/>
  <c r="F171" i="7"/>
  <c r="G171" i="7"/>
  <c r="H171" i="7"/>
  <c r="B172" i="7"/>
  <c r="C172" i="7"/>
  <c r="D172" i="7"/>
  <c r="E172" i="7"/>
  <c r="F172" i="7"/>
  <c r="G172" i="7"/>
  <c r="H172" i="7"/>
  <c r="H173" i="7"/>
  <c r="H174" i="7"/>
  <c r="B175" i="7"/>
  <c r="C175" i="7"/>
  <c r="D175" i="7"/>
  <c r="E175" i="7"/>
  <c r="F175" i="7"/>
  <c r="G175" i="7"/>
  <c r="H175" i="7"/>
  <c r="B176" i="7"/>
  <c r="C176" i="7"/>
  <c r="D176" i="7"/>
  <c r="E176" i="7"/>
  <c r="F176" i="7"/>
  <c r="G176" i="7"/>
  <c r="H176" i="7"/>
  <c r="B177" i="7"/>
  <c r="C177" i="7"/>
  <c r="D177" i="7"/>
  <c r="E177" i="7"/>
  <c r="F177" i="7"/>
  <c r="G177" i="7"/>
  <c r="H177" i="7"/>
  <c r="B178" i="7"/>
  <c r="C178" i="7"/>
  <c r="D178" i="7"/>
  <c r="E178" i="7"/>
  <c r="F178" i="7"/>
  <c r="G178" i="7"/>
  <c r="H178" i="7"/>
  <c r="B180" i="7" a="1"/>
  <c r="B180" i="7"/>
  <c r="B179" i="7"/>
  <c r="C179" i="7"/>
  <c r="D179" i="7"/>
  <c r="E179" i="7"/>
  <c r="F179" i="7"/>
  <c r="G179" i="7"/>
  <c r="H179" i="7"/>
  <c r="H180" i="7"/>
  <c r="B184" i="7"/>
  <c r="C184" i="7"/>
  <c r="D184" i="7"/>
  <c r="E184" i="7"/>
  <c r="F184" i="7"/>
  <c r="G184" i="7"/>
  <c r="B185" i="7"/>
  <c r="C185" i="7"/>
  <c r="D185" i="7"/>
  <c r="E185" i="7"/>
  <c r="F185" i="7"/>
  <c r="G185" i="7"/>
  <c r="B186" i="7"/>
  <c r="C186" i="7"/>
  <c r="D186" i="7"/>
  <c r="E186" i="7"/>
  <c r="F186" i="7"/>
  <c r="G186" i="7"/>
  <c r="B187" i="7"/>
  <c r="C187" i="7"/>
  <c r="D187" i="7"/>
  <c r="E187" i="7"/>
  <c r="F187" i="7"/>
  <c r="G187" i="7"/>
  <c r="B189" i="7"/>
  <c r="C189" i="7"/>
  <c r="D189" i="7"/>
  <c r="E189" i="7"/>
  <c r="F189" i="7"/>
  <c r="G189" i="7"/>
  <c r="B190" i="7"/>
  <c r="C190" i="7"/>
  <c r="D190" i="7"/>
  <c r="E190" i="7"/>
  <c r="F190" i="7"/>
  <c r="G190" i="7"/>
  <c r="B191" i="7"/>
  <c r="C191" i="7"/>
  <c r="D191" i="7"/>
  <c r="E191" i="7"/>
  <c r="F191" i="7"/>
  <c r="G191" i="7"/>
  <c r="B192" i="7"/>
  <c r="C192" i="7"/>
  <c r="D192" i="7"/>
  <c r="E192" i="7"/>
  <c r="F192" i="7"/>
  <c r="G192" i="7"/>
  <c r="B193" i="7"/>
  <c r="C193" i="7"/>
  <c r="D193" i="7"/>
  <c r="E193" i="7"/>
  <c r="F193" i="7"/>
  <c r="G193" i="7"/>
  <c r="G220" i="7"/>
  <c r="F220" i="7"/>
  <c r="E220" i="7"/>
  <c r="D220" i="7"/>
  <c r="C220" i="7"/>
  <c r="B220" i="7"/>
  <c r="G240" i="7"/>
  <c r="G215" i="7"/>
  <c r="G216" i="7"/>
  <c r="F240" i="7"/>
  <c r="F215" i="7"/>
  <c r="F216" i="7"/>
  <c r="E240" i="7"/>
  <c r="E215" i="7"/>
  <c r="E216" i="7"/>
  <c r="D240" i="7"/>
  <c r="D215" i="7"/>
  <c r="D216" i="7"/>
  <c r="C240" i="7"/>
  <c r="C215" i="7"/>
  <c r="C216" i="7"/>
  <c r="B240" i="7"/>
  <c r="B215" i="7"/>
  <c r="B216" i="7"/>
  <c r="G224" i="7"/>
  <c r="G229" i="7"/>
  <c r="G244" i="7"/>
  <c r="F224" i="7"/>
  <c r="F229" i="7"/>
  <c r="F244" i="7"/>
  <c r="E224" i="7"/>
  <c r="E229" i="7"/>
  <c r="E244" i="7"/>
  <c r="D224" i="7"/>
  <c r="D229" i="7"/>
  <c r="D244" i="7"/>
  <c r="C224" i="7"/>
  <c r="C229" i="7"/>
  <c r="C244" i="7"/>
  <c r="B224" i="7"/>
  <c r="B229" i="7"/>
  <c r="B244" i="7"/>
  <c r="F221" i="7"/>
  <c r="G221" i="7"/>
  <c r="E221" i="7"/>
  <c r="D221" i="7"/>
  <c r="C221" i="7"/>
  <c r="B221" i="7"/>
  <c r="F219" i="7"/>
  <c r="G219" i="7"/>
  <c r="E219" i="7"/>
  <c r="D219" i="7"/>
  <c r="C219" i="7"/>
  <c r="B219" i="7"/>
  <c r="R153" i="5"/>
  <c r="R151" i="5"/>
  <c r="R140" i="5"/>
  <c r="R120" i="5"/>
  <c r="R75" i="5"/>
  <c r="R73" i="5"/>
  <c r="R153" i="2"/>
  <c r="R151" i="2"/>
  <c r="R140" i="2"/>
  <c r="R75" i="2"/>
  <c r="R73" i="2"/>
  <c r="R129" i="1"/>
  <c r="R127" i="1"/>
  <c r="R114" i="1"/>
  <c r="R105" i="1"/>
  <c r="R69" i="1"/>
  <c r="R67" i="1"/>
  <c r="B430" i="10"/>
  <c r="B431" i="10"/>
  <c r="B432" i="10"/>
  <c r="B63" i="10"/>
  <c r="B64" i="10"/>
  <c r="B65" i="10"/>
  <c r="C74" i="13"/>
  <c r="C76" i="13"/>
  <c r="C77" i="13"/>
  <c r="C78" i="13"/>
  <c r="C430" i="10"/>
  <c r="C431" i="10"/>
  <c r="C432" i="10"/>
  <c r="C63" i="10"/>
  <c r="C64" i="10"/>
  <c r="C65" i="10"/>
  <c r="D70" i="13"/>
  <c r="D71" i="13"/>
  <c r="D72" i="13"/>
  <c r="D73" i="13"/>
  <c r="D74" i="13"/>
  <c r="D75" i="13"/>
  <c r="D76" i="13"/>
  <c r="D77" i="13"/>
  <c r="D78" i="13"/>
  <c r="U78" i="13"/>
  <c r="D430" i="10"/>
  <c r="D431" i="10"/>
  <c r="D432" i="10"/>
  <c r="D63" i="10"/>
  <c r="D64" i="10"/>
  <c r="D65" i="10"/>
  <c r="E70" i="13"/>
  <c r="E71" i="13"/>
  <c r="E72" i="13"/>
  <c r="E73" i="13"/>
  <c r="E74" i="13"/>
  <c r="E75" i="13"/>
  <c r="E76" i="13"/>
  <c r="E77" i="13"/>
  <c r="E78" i="13"/>
  <c r="V78" i="13"/>
  <c r="E430" i="10"/>
  <c r="E431" i="10"/>
  <c r="E432" i="10"/>
  <c r="E63" i="10"/>
  <c r="E64" i="10"/>
  <c r="E65" i="10"/>
  <c r="F70" i="13"/>
  <c r="F71" i="13"/>
  <c r="F72" i="13"/>
  <c r="F73" i="13"/>
  <c r="F74" i="13"/>
  <c r="F75" i="13"/>
  <c r="F76" i="13"/>
  <c r="F77" i="13"/>
  <c r="F78" i="13"/>
  <c r="W78" i="13"/>
  <c r="F430" i="10"/>
  <c r="F431" i="10"/>
  <c r="F432" i="10"/>
  <c r="F63" i="10"/>
  <c r="F64" i="10"/>
  <c r="F65" i="10"/>
  <c r="G70" i="13"/>
  <c r="G71" i="13"/>
  <c r="G72" i="13"/>
  <c r="G73" i="13"/>
  <c r="G74" i="13"/>
  <c r="G75" i="13"/>
  <c r="G76" i="13"/>
  <c r="G77" i="13"/>
  <c r="G78" i="13"/>
  <c r="X78" i="13"/>
  <c r="G430" i="10"/>
  <c r="G431" i="10"/>
  <c r="G432" i="10"/>
  <c r="G63" i="10"/>
  <c r="G64" i="10"/>
  <c r="G65" i="10"/>
  <c r="H74" i="13"/>
  <c r="H76" i="13"/>
  <c r="H77" i="13"/>
  <c r="H78" i="13"/>
  <c r="Y78" i="13"/>
  <c r="T78" i="13"/>
  <c r="U77" i="13"/>
  <c r="V77" i="13"/>
  <c r="W77" i="13"/>
  <c r="X77" i="13"/>
  <c r="Y77" i="13"/>
  <c r="T77" i="13"/>
  <c r="I78" i="13"/>
  <c r="S78" i="13"/>
  <c r="I77" i="13"/>
  <c r="S77" i="13"/>
  <c r="U76" i="13"/>
  <c r="V76" i="13"/>
  <c r="W76" i="13"/>
  <c r="X76" i="13"/>
  <c r="Y76" i="13"/>
  <c r="T76" i="13"/>
  <c r="D81" i="13"/>
  <c r="E81" i="13"/>
  <c r="F81" i="13"/>
  <c r="G81" i="13"/>
  <c r="H81" i="13"/>
  <c r="C81" i="13"/>
  <c r="I66" i="13"/>
  <c r="I67" i="13"/>
  <c r="D489" i="13"/>
  <c r="E489" i="13"/>
  <c r="F489" i="13"/>
  <c r="G489" i="13"/>
  <c r="H489" i="13"/>
  <c r="C489" i="13"/>
  <c r="D493" i="13"/>
  <c r="D492" i="13"/>
  <c r="E493" i="13"/>
  <c r="E492" i="13"/>
  <c r="F493" i="13"/>
  <c r="F492" i="13"/>
  <c r="G493" i="13"/>
  <c r="G492" i="13"/>
  <c r="H493" i="13"/>
  <c r="H492" i="13"/>
  <c r="C493" i="13"/>
  <c r="C492" i="13"/>
  <c r="I493" i="13"/>
  <c r="I489" i="13"/>
  <c r="G370" i="13"/>
  <c r="G371" i="13"/>
  <c r="C320" i="13"/>
  <c r="C378" i="13"/>
  <c r="G372" i="13"/>
  <c r="D320" i="13"/>
  <c r="D327" i="13"/>
  <c r="D331" i="13"/>
  <c r="D341" i="13"/>
  <c r="D343" i="13"/>
  <c r="D344" i="13"/>
  <c r="D450" i="13"/>
  <c r="D34" i="13"/>
  <c r="E450" i="13"/>
  <c r="E34" i="13"/>
  <c r="D299" i="13"/>
  <c r="D345" i="13"/>
  <c r="D348" i="13"/>
  <c r="E320" i="13"/>
  <c r="E327" i="13"/>
  <c r="E331" i="13"/>
  <c r="E341" i="13"/>
  <c r="E343" i="13"/>
  <c r="E344" i="13"/>
  <c r="F450" i="13"/>
  <c r="F34" i="13"/>
  <c r="E299" i="13"/>
  <c r="E345" i="13"/>
  <c r="E348" i="13"/>
  <c r="F320" i="13"/>
  <c r="F327" i="13"/>
  <c r="F331" i="13"/>
  <c r="F341" i="13"/>
  <c r="F343" i="13"/>
  <c r="F344" i="13"/>
  <c r="G450" i="13"/>
  <c r="G34" i="13"/>
  <c r="F299" i="13"/>
  <c r="F345" i="13"/>
  <c r="F348" i="13"/>
  <c r="G320" i="13"/>
  <c r="G327" i="13"/>
  <c r="G331" i="13"/>
  <c r="G341" i="13"/>
  <c r="G343" i="13"/>
  <c r="G344" i="13"/>
  <c r="H450" i="13"/>
  <c r="H34" i="13"/>
  <c r="G299" i="13"/>
  <c r="G345" i="13"/>
  <c r="G348" i="13"/>
  <c r="H320" i="13"/>
  <c r="H327" i="13"/>
  <c r="H331" i="13"/>
  <c r="H341" i="13"/>
  <c r="H343" i="13"/>
  <c r="H344" i="13"/>
  <c r="H299" i="13"/>
  <c r="H345" i="13"/>
  <c r="H348" i="13"/>
  <c r="C327" i="13"/>
  <c r="C331" i="13"/>
  <c r="C341" i="13"/>
  <c r="C343" i="13"/>
  <c r="C344" i="13"/>
  <c r="C450" i="13"/>
  <c r="C34" i="13"/>
  <c r="C299" i="13"/>
  <c r="C345" i="13"/>
  <c r="C348" i="13"/>
  <c r="S60" i="13"/>
  <c r="C357" i="13"/>
  <c r="D357" i="13"/>
  <c r="H103" i="13"/>
  <c r="H116" i="13"/>
  <c r="C103" i="13"/>
  <c r="C116" i="13"/>
  <c r="S116" i="13"/>
  <c r="C360" i="13"/>
  <c r="D360" i="13"/>
  <c r="D365" i="13"/>
  <c r="D366" i="13"/>
  <c r="D367" i="13"/>
  <c r="D368" i="13"/>
  <c r="D369" i="13"/>
  <c r="D372" i="13"/>
  <c r="D373" i="13"/>
  <c r="D374" i="13"/>
  <c r="D375" i="13"/>
  <c r="D377" i="13"/>
  <c r="D381" i="13"/>
  <c r="D378" i="13"/>
  <c r="D382" i="13"/>
  <c r="D342" i="13"/>
  <c r="D383" i="13"/>
  <c r="E372" i="13"/>
  <c r="E373" i="13"/>
  <c r="E374" i="13"/>
  <c r="E375" i="13"/>
  <c r="E377" i="13"/>
  <c r="E381" i="13"/>
  <c r="E378" i="13"/>
  <c r="E382" i="13"/>
  <c r="E342" i="13"/>
  <c r="E383" i="13"/>
  <c r="C372" i="13"/>
  <c r="C373" i="13"/>
  <c r="C374" i="13"/>
  <c r="C375" i="13"/>
  <c r="C377" i="13"/>
  <c r="C381" i="13"/>
  <c r="C382" i="13"/>
  <c r="C342" i="13"/>
  <c r="C383" i="13"/>
  <c r="D380" i="13"/>
  <c r="E380" i="13"/>
  <c r="C380" i="13"/>
  <c r="D379" i="13"/>
  <c r="E379" i="13"/>
  <c r="C379" i="13"/>
  <c r="H123" i="13"/>
  <c r="H172" i="13"/>
  <c r="H173" i="13"/>
  <c r="H174" i="13"/>
  <c r="H187" i="13"/>
  <c r="H188" i="13"/>
  <c r="C123" i="13"/>
  <c r="C172" i="13"/>
  <c r="C173" i="13"/>
  <c r="C174" i="13"/>
  <c r="C187" i="13"/>
  <c r="C188" i="13"/>
  <c r="C363" i="13"/>
  <c r="S76" i="13"/>
  <c r="C366" i="13"/>
  <c r="S123" i="13"/>
  <c r="C361" i="13"/>
  <c r="S69" i="13"/>
  <c r="C358" i="13"/>
  <c r="C39" i="13"/>
  <c r="C328" i="13"/>
  <c r="C332" i="13"/>
  <c r="D39" i="13"/>
  <c r="D328" i="13"/>
  <c r="D332" i="13"/>
  <c r="E39" i="13"/>
  <c r="E328" i="13"/>
  <c r="E332" i="13"/>
  <c r="F39" i="13"/>
  <c r="F328" i="13"/>
  <c r="F332" i="13"/>
  <c r="G39" i="13"/>
  <c r="G328" i="13"/>
  <c r="G332" i="13"/>
  <c r="H39" i="13"/>
  <c r="H328" i="13"/>
  <c r="H332" i="13"/>
  <c r="J332" i="13"/>
  <c r="I332" i="13"/>
  <c r="K332" i="13"/>
  <c r="C319" i="13"/>
  <c r="C321" i="13"/>
  <c r="C427" i="13"/>
  <c r="C23" i="13"/>
  <c r="C255" i="13"/>
  <c r="C322" i="13"/>
  <c r="C323" i="13"/>
  <c r="C324" i="13"/>
  <c r="C333" i="13"/>
  <c r="D319" i="13"/>
  <c r="D321" i="13"/>
  <c r="D427" i="13"/>
  <c r="D23" i="13"/>
  <c r="D255" i="13"/>
  <c r="D322" i="13"/>
  <c r="D323" i="13"/>
  <c r="D324" i="13"/>
  <c r="D333" i="13"/>
  <c r="E319" i="13"/>
  <c r="E321" i="13"/>
  <c r="E427" i="13"/>
  <c r="E23" i="13"/>
  <c r="E255" i="13"/>
  <c r="E322" i="13"/>
  <c r="E323" i="13"/>
  <c r="E324" i="13"/>
  <c r="E333" i="13"/>
  <c r="F319" i="13"/>
  <c r="F321" i="13"/>
  <c r="F427" i="13"/>
  <c r="F23" i="13"/>
  <c r="F255" i="13"/>
  <c r="F322" i="13"/>
  <c r="F323" i="13"/>
  <c r="F324" i="13"/>
  <c r="F333" i="13"/>
  <c r="G319" i="13"/>
  <c r="G321" i="13"/>
  <c r="G427" i="13"/>
  <c r="G23" i="13"/>
  <c r="G255" i="13"/>
  <c r="G322" i="13"/>
  <c r="G323" i="13"/>
  <c r="G324" i="13"/>
  <c r="G333" i="13"/>
  <c r="H319" i="13"/>
  <c r="H321" i="13"/>
  <c r="H427" i="13"/>
  <c r="H23" i="13"/>
  <c r="H255" i="13"/>
  <c r="H322" i="13"/>
  <c r="H323" i="13"/>
  <c r="H324" i="13"/>
  <c r="H333" i="13"/>
  <c r="J333" i="13"/>
  <c r="I333" i="13"/>
  <c r="K333" i="13"/>
  <c r="C334" i="13"/>
  <c r="D334" i="13"/>
  <c r="E334" i="13"/>
  <c r="F334" i="13"/>
  <c r="G334" i="13"/>
  <c r="H334" i="13"/>
  <c r="J334" i="13"/>
  <c r="I334" i="13"/>
  <c r="K334" i="13"/>
  <c r="C335" i="13"/>
  <c r="D335" i="13"/>
  <c r="E335" i="13"/>
  <c r="F335" i="13"/>
  <c r="G335" i="13"/>
  <c r="H335" i="13"/>
  <c r="J335" i="13"/>
  <c r="I335" i="13"/>
  <c r="K335" i="13"/>
  <c r="J336" i="13"/>
  <c r="I336" i="13"/>
  <c r="K336" i="13"/>
  <c r="C337" i="13"/>
  <c r="D103" i="13"/>
  <c r="D116" i="13"/>
  <c r="D337" i="13"/>
  <c r="E103" i="13"/>
  <c r="E116" i="13"/>
  <c r="E337" i="13"/>
  <c r="F103" i="13"/>
  <c r="F116" i="13"/>
  <c r="F337" i="13"/>
  <c r="G103" i="13"/>
  <c r="G116" i="13"/>
  <c r="G337" i="13"/>
  <c r="H337" i="13"/>
  <c r="J337" i="13"/>
  <c r="I337" i="13"/>
  <c r="K337" i="13"/>
  <c r="C338" i="13"/>
  <c r="D123" i="13"/>
  <c r="D338" i="13"/>
  <c r="E123" i="13"/>
  <c r="E338" i="13"/>
  <c r="F123" i="13"/>
  <c r="F338" i="13"/>
  <c r="G123" i="13"/>
  <c r="G338" i="13"/>
  <c r="H338" i="13"/>
  <c r="J338" i="13"/>
  <c r="I338" i="13"/>
  <c r="K338" i="13"/>
  <c r="C339" i="13"/>
  <c r="D172" i="13"/>
  <c r="D173" i="13"/>
  <c r="D174" i="13"/>
  <c r="D187" i="13"/>
  <c r="D339" i="13"/>
  <c r="E172" i="13"/>
  <c r="E173" i="13"/>
  <c r="E174" i="13"/>
  <c r="E187" i="13"/>
  <c r="E339" i="13"/>
  <c r="F172" i="13"/>
  <c r="F173" i="13"/>
  <c r="F174" i="13"/>
  <c r="F187" i="13"/>
  <c r="F339" i="13"/>
  <c r="G172" i="13"/>
  <c r="G173" i="13"/>
  <c r="G174" i="13"/>
  <c r="G187" i="13"/>
  <c r="G339" i="13"/>
  <c r="H339" i="13"/>
  <c r="J339" i="13"/>
  <c r="I339" i="13"/>
  <c r="K339" i="13"/>
  <c r="J331" i="13"/>
  <c r="I331" i="13"/>
  <c r="K331" i="13"/>
  <c r="D350" i="13"/>
  <c r="D415" i="13"/>
  <c r="D10" i="13"/>
  <c r="D11" i="13"/>
  <c r="D18" i="13"/>
  <c r="D419" i="13"/>
  <c r="D19" i="13"/>
  <c r="D422" i="13"/>
  <c r="D423" i="13"/>
  <c r="D20" i="13"/>
  <c r="D21" i="13"/>
  <c r="D351" i="13"/>
  <c r="E350" i="13"/>
  <c r="E415" i="13"/>
  <c r="E10" i="13"/>
  <c r="E11" i="13"/>
  <c r="E18" i="13"/>
  <c r="E419" i="13"/>
  <c r="E19" i="13"/>
  <c r="E422" i="13"/>
  <c r="E423" i="13"/>
  <c r="E20" i="13"/>
  <c r="E21" i="13"/>
  <c r="E351" i="13"/>
  <c r="F350" i="13"/>
  <c r="F415" i="13"/>
  <c r="F10" i="13"/>
  <c r="F11" i="13"/>
  <c r="F18" i="13"/>
  <c r="F419" i="13"/>
  <c r="F19" i="13"/>
  <c r="F422" i="13"/>
  <c r="F423" i="13"/>
  <c r="F20" i="13"/>
  <c r="F21" i="13"/>
  <c r="F351" i="13"/>
  <c r="G350" i="13"/>
  <c r="G415" i="13"/>
  <c r="G10" i="13"/>
  <c r="G11" i="13"/>
  <c r="G18" i="13"/>
  <c r="G419" i="13"/>
  <c r="G19" i="13"/>
  <c r="G422" i="13"/>
  <c r="G423" i="13"/>
  <c r="G20" i="13"/>
  <c r="G21" i="13"/>
  <c r="G351" i="13"/>
  <c r="H350" i="13"/>
  <c r="H415" i="13"/>
  <c r="H10" i="13"/>
  <c r="H11" i="13"/>
  <c r="H18" i="13"/>
  <c r="H419" i="13"/>
  <c r="H19" i="13"/>
  <c r="H422" i="13"/>
  <c r="H423" i="13"/>
  <c r="H20" i="13"/>
  <c r="H21" i="13"/>
  <c r="H351" i="13"/>
  <c r="C350" i="13"/>
  <c r="C415" i="13"/>
  <c r="C10" i="13"/>
  <c r="C11" i="13"/>
  <c r="C18" i="13"/>
  <c r="C419" i="13"/>
  <c r="C19" i="13"/>
  <c r="C422" i="13"/>
  <c r="C423" i="13"/>
  <c r="C20" i="13"/>
  <c r="C21" i="13"/>
  <c r="C351" i="13"/>
  <c r="D297" i="13"/>
  <c r="D346" i="13"/>
  <c r="E297" i="13"/>
  <c r="E346" i="13"/>
  <c r="F297" i="13"/>
  <c r="F346" i="13"/>
  <c r="G297" i="13"/>
  <c r="G346" i="13"/>
  <c r="H297" i="13"/>
  <c r="H346" i="13"/>
  <c r="C297" i="13"/>
  <c r="C346" i="13"/>
  <c r="F342" i="13"/>
  <c r="G342" i="13"/>
  <c r="H342" i="13"/>
  <c r="H291" i="13"/>
  <c r="C291" i="13"/>
  <c r="I291" i="13"/>
  <c r="H293" i="13"/>
  <c r="C293" i="13"/>
  <c r="I293" i="13"/>
  <c r="H295" i="13"/>
  <c r="C295" i="13"/>
  <c r="I295" i="13"/>
  <c r="H296" i="13"/>
  <c r="C296" i="13"/>
  <c r="I296" i="13"/>
  <c r="I297" i="13"/>
  <c r="H260" i="13"/>
  <c r="H259" i="13"/>
  <c r="H298" i="13"/>
  <c r="C260" i="13"/>
  <c r="D260" i="13"/>
  <c r="C259" i="13"/>
  <c r="D259" i="13"/>
  <c r="C298" i="13"/>
  <c r="I298" i="13"/>
  <c r="I299" i="13"/>
  <c r="H301" i="13"/>
  <c r="C301" i="13"/>
  <c r="I301" i="13"/>
  <c r="H302" i="13"/>
  <c r="C302" i="13"/>
  <c r="I302" i="13"/>
  <c r="H303" i="13"/>
  <c r="C303" i="13"/>
  <c r="I303" i="13"/>
  <c r="H304" i="13"/>
  <c r="H305" i="13"/>
  <c r="C304" i="13"/>
  <c r="C305" i="13"/>
  <c r="I305" i="13"/>
  <c r="H26" i="13"/>
  <c r="H434" i="13"/>
  <c r="H435" i="13"/>
  <c r="H27" i="13"/>
  <c r="H28" i="13"/>
  <c r="H217" i="13"/>
  <c r="H309" i="13"/>
  <c r="C26" i="13"/>
  <c r="C434" i="13"/>
  <c r="C435" i="13"/>
  <c r="C27" i="13"/>
  <c r="C28" i="13"/>
  <c r="C217" i="13"/>
  <c r="D26" i="13"/>
  <c r="D434" i="13"/>
  <c r="D435" i="13"/>
  <c r="D27" i="13"/>
  <c r="D28" i="13"/>
  <c r="D217" i="13"/>
  <c r="C309" i="13"/>
  <c r="I309" i="13"/>
  <c r="H310" i="13"/>
  <c r="C310" i="13"/>
  <c r="I310" i="13"/>
  <c r="H292" i="13"/>
  <c r="C292" i="13"/>
  <c r="I292" i="13"/>
  <c r="H294" i="13"/>
  <c r="C294" i="13"/>
  <c r="I294" i="13"/>
  <c r="I304" i="13"/>
  <c r="D310" i="13"/>
  <c r="E310" i="13"/>
  <c r="F310" i="13"/>
  <c r="G310" i="13"/>
  <c r="E26" i="13"/>
  <c r="E434" i="13"/>
  <c r="E435" i="13"/>
  <c r="E27" i="13"/>
  <c r="E28" i="13"/>
  <c r="E217" i="13"/>
  <c r="D309" i="13"/>
  <c r="F26" i="13"/>
  <c r="F434" i="13"/>
  <c r="F435" i="13"/>
  <c r="F27" i="13"/>
  <c r="F28" i="13"/>
  <c r="F217" i="13"/>
  <c r="E309" i="13"/>
  <c r="G26" i="13"/>
  <c r="G434" i="13"/>
  <c r="G435" i="13"/>
  <c r="G27" i="13"/>
  <c r="G28" i="13"/>
  <c r="G217" i="13"/>
  <c r="F309" i="13"/>
  <c r="G309" i="13"/>
  <c r="D307" i="13"/>
  <c r="E307" i="13"/>
  <c r="F307" i="13"/>
  <c r="G307" i="13"/>
  <c r="D301" i="13"/>
  <c r="D302" i="13"/>
  <c r="D303" i="13"/>
  <c r="D304" i="13"/>
  <c r="D305" i="13"/>
  <c r="E301" i="13"/>
  <c r="E302" i="13"/>
  <c r="E303" i="13"/>
  <c r="E304" i="13"/>
  <c r="E305" i="13"/>
  <c r="F301" i="13"/>
  <c r="F302" i="13"/>
  <c r="F303" i="13"/>
  <c r="F304" i="13"/>
  <c r="F305" i="13"/>
  <c r="G301" i="13"/>
  <c r="G302" i="13"/>
  <c r="G303" i="13"/>
  <c r="G304" i="13"/>
  <c r="G305" i="13"/>
  <c r="E260" i="13"/>
  <c r="E259" i="13"/>
  <c r="D298" i="13"/>
  <c r="F260" i="13"/>
  <c r="F259" i="13"/>
  <c r="E298" i="13"/>
  <c r="G260" i="13"/>
  <c r="G259" i="13"/>
  <c r="F298" i="13"/>
  <c r="G298" i="13"/>
  <c r="D296" i="13"/>
  <c r="E296" i="13"/>
  <c r="F296" i="13"/>
  <c r="G296" i="13"/>
  <c r="D295" i="13"/>
  <c r="E295" i="13"/>
  <c r="F295" i="13"/>
  <c r="G295" i="13"/>
  <c r="D294" i="13"/>
  <c r="E294" i="13"/>
  <c r="F294" i="13"/>
  <c r="G294" i="13"/>
  <c r="D293" i="13"/>
  <c r="E293" i="13"/>
  <c r="F293" i="13"/>
  <c r="G293" i="13"/>
  <c r="D292" i="13"/>
  <c r="E292" i="13"/>
  <c r="F292" i="13"/>
  <c r="G292" i="13"/>
  <c r="D291" i="13"/>
  <c r="E291" i="13"/>
  <c r="F291" i="13"/>
  <c r="G291" i="13"/>
  <c r="B56" i="13"/>
  <c r="C56" i="13"/>
  <c r="B58" i="13"/>
  <c r="B59" i="13"/>
  <c r="I60" i="13"/>
  <c r="I61" i="13"/>
  <c r="I62" i="13"/>
  <c r="I63" i="13"/>
  <c r="I64" i="13"/>
  <c r="I65" i="13"/>
  <c r="I68" i="13"/>
  <c r="I69" i="13"/>
  <c r="I70" i="13"/>
  <c r="I71" i="13"/>
  <c r="I72" i="13"/>
  <c r="I73" i="13"/>
  <c r="I74" i="13"/>
  <c r="I75" i="13"/>
  <c r="I76" i="13"/>
  <c r="K56" i="13"/>
  <c r="K60" i="13"/>
  <c r="K61" i="13"/>
  <c r="K62" i="13"/>
  <c r="K63" i="13"/>
  <c r="K64" i="13"/>
  <c r="K65" i="13"/>
  <c r="K68" i="13"/>
  <c r="K69" i="13"/>
  <c r="K70" i="13"/>
  <c r="K71" i="13"/>
  <c r="K72" i="13"/>
  <c r="K73" i="13"/>
  <c r="K74" i="13"/>
  <c r="K75" i="13"/>
  <c r="K76" i="13"/>
  <c r="C453" i="13"/>
  <c r="C454" i="13"/>
  <c r="C455" i="13"/>
  <c r="D453" i="13"/>
  <c r="D454" i="13"/>
  <c r="D455" i="13"/>
  <c r="E453" i="13"/>
  <c r="E454" i="13"/>
  <c r="E455" i="13"/>
  <c r="F453" i="13"/>
  <c r="F454" i="13"/>
  <c r="F455" i="13"/>
  <c r="G453" i="13"/>
  <c r="G454" i="13"/>
  <c r="G455" i="13"/>
  <c r="H453" i="13"/>
  <c r="H454" i="13"/>
  <c r="H455" i="13"/>
  <c r="Y455" i="13"/>
  <c r="X455" i="13"/>
  <c r="W455" i="13"/>
  <c r="V455" i="13"/>
  <c r="U455" i="13"/>
  <c r="T455" i="13"/>
  <c r="S455" i="13"/>
  <c r="P455" i="13"/>
  <c r="O455" i="13"/>
  <c r="N455" i="13"/>
  <c r="M455" i="13"/>
  <c r="L455" i="13"/>
  <c r="K455" i="13"/>
  <c r="Y454" i="13"/>
  <c r="X454" i="13"/>
  <c r="W454" i="13"/>
  <c r="V454" i="13"/>
  <c r="U454" i="13"/>
  <c r="T454" i="13"/>
  <c r="S454" i="13"/>
  <c r="P454" i="13"/>
  <c r="O454" i="13"/>
  <c r="N454" i="13"/>
  <c r="M454" i="13"/>
  <c r="L454" i="13"/>
  <c r="K454" i="13"/>
  <c r="Y453" i="13"/>
  <c r="X453" i="13"/>
  <c r="W453" i="13"/>
  <c r="V453" i="13"/>
  <c r="U453" i="13"/>
  <c r="T453" i="13"/>
  <c r="S453" i="13"/>
  <c r="P453" i="13"/>
  <c r="O453" i="13"/>
  <c r="N453" i="13"/>
  <c r="M453" i="13"/>
  <c r="L453" i="13"/>
  <c r="K453" i="13"/>
  <c r="Y452" i="13"/>
  <c r="X452" i="13"/>
  <c r="W452" i="13"/>
  <c r="V452" i="13"/>
  <c r="U452" i="13"/>
  <c r="T452" i="13"/>
  <c r="S452" i="13"/>
  <c r="P452" i="13"/>
  <c r="O452" i="13"/>
  <c r="N452" i="13"/>
  <c r="M452" i="13"/>
  <c r="L452" i="13"/>
  <c r="K452" i="13"/>
  <c r="Y450" i="13"/>
  <c r="X450" i="13"/>
  <c r="W450" i="13"/>
  <c r="V450" i="13"/>
  <c r="U450" i="13"/>
  <c r="T450" i="13"/>
  <c r="S450" i="13"/>
  <c r="P450" i="13"/>
  <c r="O450" i="13"/>
  <c r="N450" i="13"/>
  <c r="M450" i="13"/>
  <c r="L450" i="13"/>
  <c r="K450" i="13"/>
  <c r="Y449" i="13"/>
  <c r="X449" i="13"/>
  <c r="W449" i="13"/>
  <c r="V449" i="13"/>
  <c r="U449" i="13"/>
  <c r="T449" i="13"/>
  <c r="S449" i="13"/>
  <c r="P449" i="13"/>
  <c r="O449" i="13"/>
  <c r="N449" i="13"/>
  <c r="M449" i="13"/>
  <c r="L449" i="13"/>
  <c r="K449" i="13"/>
  <c r="Y448" i="13"/>
  <c r="X448" i="13"/>
  <c r="W448" i="13"/>
  <c r="V448" i="13"/>
  <c r="U448" i="13"/>
  <c r="T448" i="13"/>
  <c r="S448" i="13"/>
  <c r="P448" i="13"/>
  <c r="O448" i="13"/>
  <c r="N448" i="13"/>
  <c r="M448" i="13"/>
  <c r="L448" i="13"/>
  <c r="K448" i="13"/>
  <c r="Y447" i="13"/>
  <c r="X447" i="13"/>
  <c r="W447" i="13"/>
  <c r="V447" i="13"/>
  <c r="U447" i="13"/>
  <c r="T447" i="13"/>
  <c r="S447" i="13"/>
  <c r="P447" i="13"/>
  <c r="O447" i="13"/>
  <c r="N447" i="13"/>
  <c r="M447" i="13"/>
  <c r="L447" i="13"/>
  <c r="K447" i="13"/>
  <c r="Y446" i="13"/>
  <c r="X446" i="13"/>
  <c r="W446" i="13"/>
  <c r="V446" i="13"/>
  <c r="U446" i="13"/>
  <c r="T446" i="13"/>
  <c r="S446" i="13"/>
  <c r="P446" i="13"/>
  <c r="O446" i="13"/>
  <c r="N446" i="13"/>
  <c r="M446" i="13"/>
  <c r="L446" i="13"/>
  <c r="K446" i="13"/>
  <c r="Y445" i="13"/>
  <c r="X445" i="13"/>
  <c r="W445" i="13"/>
  <c r="V445" i="13"/>
  <c r="U445" i="13"/>
  <c r="T445" i="13"/>
  <c r="S445" i="13"/>
  <c r="P445" i="13"/>
  <c r="O445" i="13"/>
  <c r="N445" i="13"/>
  <c r="M445" i="13"/>
  <c r="L445" i="13"/>
  <c r="K445" i="13"/>
  <c r="Y444" i="13"/>
  <c r="X444" i="13"/>
  <c r="W444" i="13"/>
  <c r="V444" i="13"/>
  <c r="U444" i="13"/>
  <c r="T444" i="13"/>
  <c r="S444" i="13"/>
  <c r="P444" i="13"/>
  <c r="O444" i="13"/>
  <c r="N444" i="13"/>
  <c r="M444" i="13"/>
  <c r="L444" i="13"/>
  <c r="K444" i="13"/>
  <c r="H441" i="13"/>
  <c r="H442" i="13"/>
  <c r="G441" i="13"/>
  <c r="G442" i="13"/>
  <c r="F441" i="13"/>
  <c r="F442" i="13"/>
  <c r="E441" i="13"/>
  <c r="E442" i="13"/>
  <c r="D441" i="13"/>
  <c r="D442" i="13"/>
  <c r="C441" i="13"/>
  <c r="C442" i="13"/>
  <c r="Y440" i="13"/>
  <c r="X440" i="13"/>
  <c r="W440" i="13"/>
  <c r="V440" i="13"/>
  <c r="U440" i="13"/>
  <c r="T440" i="13"/>
  <c r="S440" i="13"/>
  <c r="P440" i="13"/>
  <c r="O440" i="13"/>
  <c r="N440" i="13"/>
  <c r="M440" i="13"/>
  <c r="L440" i="13"/>
  <c r="K440" i="13"/>
  <c r="Y439" i="13"/>
  <c r="X439" i="13"/>
  <c r="W439" i="13"/>
  <c r="V439" i="13"/>
  <c r="U439" i="13"/>
  <c r="T439" i="13"/>
  <c r="S439" i="13"/>
  <c r="P439" i="13"/>
  <c r="O439" i="13"/>
  <c r="N439" i="13"/>
  <c r="M439" i="13"/>
  <c r="L439" i="13"/>
  <c r="K439" i="13"/>
  <c r="Y438" i="13"/>
  <c r="X438" i="13"/>
  <c r="W438" i="13"/>
  <c r="V438" i="13"/>
  <c r="U438" i="13"/>
  <c r="T438" i="13"/>
  <c r="S438" i="13"/>
  <c r="P438" i="13"/>
  <c r="O438" i="13"/>
  <c r="N438" i="13"/>
  <c r="M438" i="13"/>
  <c r="L438" i="13"/>
  <c r="K438" i="13"/>
  <c r="Y437" i="13"/>
  <c r="X437" i="13"/>
  <c r="W437" i="13"/>
  <c r="V437" i="13"/>
  <c r="U437" i="13"/>
  <c r="T437" i="13"/>
  <c r="S437" i="13"/>
  <c r="P437" i="13"/>
  <c r="O437" i="13"/>
  <c r="N437" i="13"/>
  <c r="M437" i="13"/>
  <c r="L437" i="13"/>
  <c r="K437" i="13"/>
  <c r="K435" i="13"/>
  <c r="Y433" i="13"/>
  <c r="X433" i="13"/>
  <c r="W433" i="13"/>
  <c r="V433" i="13"/>
  <c r="U433" i="13"/>
  <c r="T433" i="13"/>
  <c r="S433" i="13"/>
  <c r="P433" i="13"/>
  <c r="O433" i="13"/>
  <c r="N433" i="13"/>
  <c r="M433" i="13"/>
  <c r="L433" i="13"/>
  <c r="K433" i="13"/>
  <c r="Y432" i="13"/>
  <c r="X432" i="13"/>
  <c r="W432" i="13"/>
  <c r="V432" i="13"/>
  <c r="U432" i="13"/>
  <c r="T432" i="13"/>
  <c r="S432" i="13"/>
  <c r="P432" i="13"/>
  <c r="O432" i="13"/>
  <c r="N432" i="13"/>
  <c r="M432" i="13"/>
  <c r="L432" i="13"/>
  <c r="K432" i="13"/>
  <c r="Y431" i="13"/>
  <c r="X431" i="13"/>
  <c r="W431" i="13"/>
  <c r="V431" i="13"/>
  <c r="U431" i="13"/>
  <c r="T431" i="13"/>
  <c r="S431" i="13"/>
  <c r="P431" i="13"/>
  <c r="O431" i="13"/>
  <c r="N431" i="13"/>
  <c r="M431" i="13"/>
  <c r="L431" i="13"/>
  <c r="K431" i="13"/>
  <c r="Y430" i="13"/>
  <c r="X430" i="13"/>
  <c r="W430" i="13"/>
  <c r="V430" i="13"/>
  <c r="U430" i="13"/>
  <c r="T430" i="13"/>
  <c r="S430" i="13"/>
  <c r="P430" i="13"/>
  <c r="O430" i="13"/>
  <c r="N430" i="13"/>
  <c r="M430" i="13"/>
  <c r="L430" i="13"/>
  <c r="K430" i="13"/>
  <c r="Y429" i="13"/>
  <c r="X429" i="13"/>
  <c r="W429" i="13"/>
  <c r="V429" i="13"/>
  <c r="U429" i="13"/>
  <c r="T429" i="13"/>
  <c r="S429" i="13"/>
  <c r="P429" i="13"/>
  <c r="O429" i="13"/>
  <c r="N429" i="13"/>
  <c r="M429" i="13"/>
  <c r="L429" i="13"/>
  <c r="K429" i="13"/>
  <c r="Y426" i="13"/>
  <c r="X426" i="13"/>
  <c r="W426" i="13"/>
  <c r="V426" i="13"/>
  <c r="U426" i="13"/>
  <c r="T426" i="13"/>
  <c r="S426" i="13"/>
  <c r="P426" i="13"/>
  <c r="O426" i="13"/>
  <c r="N426" i="13"/>
  <c r="M426" i="13"/>
  <c r="L426" i="13"/>
  <c r="K426" i="13"/>
  <c r="Y425" i="13"/>
  <c r="X425" i="13"/>
  <c r="W425" i="13"/>
  <c r="V425" i="13"/>
  <c r="U425" i="13"/>
  <c r="T425" i="13"/>
  <c r="S425" i="13"/>
  <c r="P425" i="13"/>
  <c r="O425" i="13"/>
  <c r="N425" i="13"/>
  <c r="M425" i="13"/>
  <c r="L425" i="13"/>
  <c r="K425" i="13"/>
  <c r="Y418" i="13"/>
  <c r="X418" i="13"/>
  <c r="W418" i="13"/>
  <c r="V418" i="13"/>
  <c r="U418" i="13"/>
  <c r="T418" i="13"/>
  <c r="S418" i="13"/>
  <c r="P418" i="13"/>
  <c r="O418" i="13"/>
  <c r="N418" i="13"/>
  <c r="M418" i="13"/>
  <c r="L418" i="13"/>
  <c r="K418" i="13"/>
  <c r="Y417" i="13"/>
  <c r="X417" i="13"/>
  <c r="W417" i="13"/>
  <c r="V417" i="13"/>
  <c r="U417" i="13"/>
  <c r="T417" i="13"/>
  <c r="S417" i="13"/>
  <c r="P417" i="13"/>
  <c r="O417" i="13"/>
  <c r="N417" i="13"/>
  <c r="M417" i="13"/>
  <c r="L417" i="13"/>
  <c r="K417" i="13"/>
  <c r="Y414" i="13"/>
  <c r="X414" i="13"/>
  <c r="W414" i="13"/>
  <c r="V414" i="13"/>
  <c r="U414" i="13"/>
  <c r="T414" i="13"/>
  <c r="S414" i="13"/>
  <c r="P414" i="13"/>
  <c r="O414" i="13"/>
  <c r="N414" i="13"/>
  <c r="M414" i="13"/>
  <c r="L414" i="13"/>
  <c r="K414" i="13"/>
  <c r="Y413" i="13"/>
  <c r="X413" i="13"/>
  <c r="W413" i="13"/>
  <c r="V413" i="13"/>
  <c r="U413" i="13"/>
  <c r="T413" i="13"/>
  <c r="S413" i="13"/>
  <c r="P413" i="13"/>
  <c r="O413" i="13"/>
  <c r="N413" i="13"/>
  <c r="M413" i="13"/>
  <c r="L413" i="13"/>
  <c r="K413" i="13"/>
  <c r="Y412" i="13"/>
  <c r="X412" i="13"/>
  <c r="W412" i="13"/>
  <c r="V412" i="13"/>
  <c r="U412" i="13"/>
  <c r="T412" i="13"/>
  <c r="S412" i="13"/>
  <c r="P412" i="13"/>
  <c r="O412" i="13"/>
  <c r="N412" i="13"/>
  <c r="M412" i="13"/>
  <c r="L412" i="13"/>
  <c r="K412" i="13"/>
  <c r="Y411" i="13"/>
  <c r="X411" i="13"/>
  <c r="W411" i="13"/>
  <c r="V411" i="13"/>
  <c r="U411" i="13"/>
  <c r="T411" i="13"/>
  <c r="S411" i="13"/>
  <c r="P411" i="13"/>
  <c r="O411" i="13"/>
  <c r="N411" i="13"/>
  <c r="M411" i="13"/>
  <c r="L411" i="13"/>
  <c r="K411" i="13"/>
  <c r="B410" i="13"/>
  <c r="B409" i="13"/>
  <c r="C407" i="13"/>
  <c r="B407" i="13"/>
  <c r="H54" i="13"/>
  <c r="H398" i="13"/>
  <c r="G54" i="13"/>
  <c r="G398" i="13"/>
  <c r="F54" i="13"/>
  <c r="F398" i="13"/>
  <c r="E54" i="13"/>
  <c r="E398" i="13"/>
  <c r="D54" i="13"/>
  <c r="D398" i="13"/>
  <c r="C54" i="13"/>
  <c r="C398" i="13"/>
  <c r="H396" i="13"/>
  <c r="G396" i="13"/>
  <c r="F396" i="13"/>
  <c r="E396" i="13"/>
  <c r="D396" i="13"/>
  <c r="C396" i="13"/>
  <c r="H395" i="13"/>
  <c r="G395" i="13"/>
  <c r="F395" i="13"/>
  <c r="E395" i="13"/>
  <c r="D395" i="13"/>
  <c r="C395" i="13"/>
  <c r="B389" i="13"/>
  <c r="B388" i="13"/>
  <c r="B386" i="13"/>
  <c r="H284" i="13"/>
  <c r="G284" i="13"/>
  <c r="F284" i="13"/>
  <c r="E284" i="13"/>
  <c r="D284" i="13"/>
  <c r="C284" i="13"/>
  <c r="H132" i="13"/>
  <c r="H281" i="13"/>
  <c r="G132" i="13"/>
  <c r="G281" i="13"/>
  <c r="F132" i="13"/>
  <c r="F281" i="13"/>
  <c r="E132" i="13"/>
  <c r="E281" i="13"/>
  <c r="D132" i="13"/>
  <c r="D281" i="13"/>
  <c r="C132" i="13"/>
  <c r="C281" i="13"/>
  <c r="H280" i="13"/>
  <c r="G280" i="13"/>
  <c r="F280" i="13"/>
  <c r="E280" i="13"/>
  <c r="D280" i="13"/>
  <c r="C280" i="13"/>
  <c r="G278" i="13"/>
  <c r="F278" i="13"/>
  <c r="E278" i="13"/>
  <c r="D278" i="13"/>
  <c r="C278" i="13"/>
  <c r="H270" i="13"/>
  <c r="H41" i="13"/>
  <c r="H271" i="13"/>
  <c r="H272" i="13"/>
  <c r="H276" i="13"/>
  <c r="G270" i="13"/>
  <c r="G41" i="13"/>
  <c r="G271" i="13"/>
  <c r="G272" i="13"/>
  <c r="G276" i="13"/>
  <c r="F270" i="13"/>
  <c r="F41" i="13"/>
  <c r="F271" i="13"/>
  <c r="F272" i="13"/>
  <c r="F276" i="13"/>
  <c r="E270" i="13"/>
  <c r="E41" i="13"/>
  <c r="E271" i="13"/>
  <c r="E272" i="13"/>
  <c r="E276" i="13"/>
  <c r="D270" i="13"/>
  <c r="D41" i="13"/>
  <c r="D271" i="13"/>
  <c r="D272" i="13"/>
  <c r="D276" i="13"/>
  <c r="C270" i="13"/>
  <c r="C41" i="13"/>
  <c r="C271" i="13"/>
  <c r="C272" i="13"/>
  <c r="C276" i="13"/>
  <c r="H275" i="13"/>
  <c r="G275" i="13"/>
  <c r="F275" i="13"/>
  <c r="E275" i="13"/>
  <c r="D275" i="13"/>
  <c r="C275" i="13"/>
  <c r="H274" i="13"/>
  <c r="G274" i="13"/>
  <c r="F274" i="13"/>
  <c r="E274" i="13"/>
  <c r="D274" i="13"/>
  <c r="C274" i="13"/>
  <c r="H268" i="13"/>
  <c r="G268" i="13"/>
  <c r="F268" i="13"/>
  <c r="E268" i="13"/>
  <c r="D268" i="13"/>
  <c r="C268" i="13"/>
  <c r="H267" i="13"/>
  <c r="G267" i="13"/>
  <c r="F267" i="13"/>
  <c r="E267" i="13"/>
  <c r="D267" i="13"/>
  <c r="C267" i="13"/>
  <c r="H258" i="13"/>
  <c r="H266" i="13"/>
  <c r="G258" i="13"/>
  <c r="G266" i="13"/>
  <c r="F258" i="13"/>
  <c r="F266" i="13"/>
  <c r="E258" i="13"/>
  <c r="E266" i="13"/>
  <c r="D258" i="13"/>
  <c r="D266" i="13"/>
  <c r="C258" i="13"/>
  <c r="C266" i="13"/>
  <c r="H265" i="13"/>
  <c r="G265" i="13"/>
  <c r="F265" i="13"/>
  <c r="E265" i="13"/>
  <c r="D265" i="13"/>
  <c r="C265" i="13"/>
  <c r="H256" i="13"/>
  <c r="H264" i="13"/>
  <c r="G256" i="13"/>
  <c r="G264" i="13"/>
  <c r="F256" i="13"/>
  <c r="F264" i="13"/>
  <c r="E256" i="13"/>
  <c r="E264" i="13"/>
  <c r="D256" i="13"/>
  <c r="D264" i="13"/>
  <c r="C256" i="13"/>
  <c r="C264" i="13"/>
  <c r="H263" i="13"/>
  <c r="G263" i="13"/>
  <c r="F263" i="13"/>
  <c r="E263" i="13"/>
  <c r="D263" i="13"/>
  <c r="C263" i="13"/>
  <c r="H254" i="13"/>
  <c r="H262" i="13"/>
  <c r="G254" i="13"/>
  <c r="G262" i="13"/>
  <c r="F254" i="13"/>
  <c r="F262" i="13"/>
  <c r="E254" i="13"/>
  <c r="E262" i="13"/>
  <c r="D254" i="13"/>
  <c r="D262" i="13"/>
  <c r="C254" i="13"/>
  <c r="C262" i="13"/>
  <c r="B252" i="13"/>
  <c r="B251" i="13"/>
  <c r="C249" i="13"/>
  <c r="B249" i="13"/>
  <c r="H243" i="13"/>
  <c r="H247" i="13"/>
  <c r="G243" i="13"/>
  <c r="G247" i="13"/>
  <c r="F243" i="13"/>
  <c r="F247" i="13"/>
  <c r="E243" i="13"/>
  <c r="E247" i="13"/>
  <c r="D243" i="13"/>
  <c r="D247" i="13"/>
  <c r="C243" i="13"/>
  <c r="C247" i="13"/>
  <c r="H242" i="13"/>
  <c r="H246" i="13"/>
  <c r="G242" i="13"/>
  <c r="G246" i="13"/>
  <c r="F242" i="13"/>
  <c r="F246" i="13"/>
  <c r="E242" i="13"/>
  <c r="E246" i="13"/>
  <c r="D242" i="13"/>
  <c r="D246" i="13"/>
  <c r="C242" i="13"/>
  <c r="C246" i="13"/>
  <c r="H245" i="13"/>
  <c r="G245" i="13"/>
  <c r="F245" i="13"/>
  <c r="E245" i="13"/>
  <c r="D245" i="13"/>
  <c r="C245" i="13"/>
  <c r="H244" i="13"/>
  <c r="G244" i="13"/>
  <c r="F244" i="13"/>
  <c r="E244" i="13"/>
  <c r="D244" i="13"/>
  <c r="C244" i="13"/>
  <c r="H240" i="13"/>
  <c r="G240" i="13"/>
  <c r="F240" i="13"/>
  <c r="E240" i="13"/>
  <c r="D240" i="13"/>
  <c r="C240" i="13"/>
  <c r="H239" i="13"/>
  <c r="G239" i="13"/>
  <c r="F239" i="13"/>
  <c r="E239" i="13"/>
  <c r="D239" i="13"/>
  <c r="C239" i="13"/>
  <c r="H238" i="13"/>
  <c r="G238" i="13"/>
  <c r="F238" i="13"/>
  <c r="E238" i="13"/>
  <c r="D238" i="13"/>
  <c r="C238" i="13"/>
  <c r="H226" i="13"/>
  <c r="H231" i="13"/>
  <c r="H227" i="13"/>
  <c r="H232" i="13"/>
  <c r="H233" i="13"/>
  <c r="H228" i="13"/>
  <c r="H234" i="13"/>
  <c r="H235" i="13"/>
  <c r="G226" i="13"/>
  <c r="G231" i="13"/>
  <c r="G227" i="13"/>
  <c r="G232" i="13"/>
  <c r="G233" i="13"/>
  <c r="G228" i="13"/>
  <c r="G234" i="13"/>
  <c r="G235" i="13"/>
  <c r="F226" i="13"/>
  <c r="F231" i="13"/>
  <c r="F227" i="13"/>
  <c r="F232" i="13"/>
  <c r="F233" i="13"/>
  <c r="F228" i="13"/>
  <c r="F234" i="13"/>
  <c r="F235" i="13"/>
  <c r="E226" i="13"/>
  <c r="E231" i="13"/>
  <c r="E227" i="13"/>
  <c r="E232" i="13"/>
  <c r="E233" i="13"/>
  <c r="E228" i="13"/>
  <c r="E234" i="13"/>
  <c r="E235" i="13"/>
  <c r="D226" i="13"/>
  <c r="D231" i="13"/>
  <c r="D227" i="13"/>
  <c r="D232" i="13"/>
  <c r="D233" i="13"/>
  <c r="D228" i="13"/>
  <c r="D234" i="13"/>
  <c r="D235" i="13"/>
  <c r="C226" i="13"/>
  <c r="C231" i="13"/>
  <c r="C227" i="13"/>
  <c r="C232" i="13"/>
  <c r="C233" i="13"/>
  <c r="C228" i="13"/>
  <c r="C234" i="13"/>
  <c r="C235" i="13"/>
  <c r="H223" i="13"/>
  <c r="G223" i="13"/>
  <c r="F223" i="13"/>
  <c r="E223" i="13"/>
  <c r="D223" i="13"/>
  <c r="C223" i="13"/>
  <c r="H222" i="13"/>
  <c r="G222" i="13"/>
  <c r="F222" i="13"/>
  <c r="E222" i="13"/>
  <c r="D222" i="13"/>
  <c r="C222" i="13"/>
  <c r="H221" i="13"/>
  <c r="G221" i="13"/>
  <c r="F221" i="13"/>
  <c r="E221" i="13"/>
  <c r="D221" i="13"/>
  <c r="C221" i="13"/>
  <c r="H218" i="13"/>
  <c r="H219" i="13"/>
  <c r="G218" i="13"/>
  <c r="G219" i="13"/>
  <c r="F218" i="13"/>
  <c r="F219" i="13"/>
  <c r="E218" i="13"/>
  <c r="E219" i="13"/>
  <c r="D218" i="13"/>
  <c r="D219" i="13"/>
  <c r="C218" i="13"/>
  <c r="C219" i="13"/>
  <c r="B216" i="13"/>
  <c r="B215" i="13"/>
  <c r="C213" i="13"/>
  <c r="B213" i="13"/>
  <c r="H16" i="13"/>
  <c r="H193" i="13"/>
  <c r="H14" i="13"/>
  <c r="H192" i="13"/>
  <c r="H195" i="13"/>
  <c r="G16" i="13"/>
  <c r="G193" i="13"/>
  <c r="G14" i="13"/>
  <c r="G192" i="13"/>
  <c r="G195" i="13"/>
  <c r="F16" i="13"/>
  <c r="F193" i="13"/>
  <c r="F14" i="13"/>
  <c r="F192" i="13"/>
  <c r="F195" i="13"/>
  <c r="E16" i="13"/>
  <c r="E193" i="13"/>
  <c r="E14" i="13"/>
  <c r="E192" i="13"/>
  <c r="E195" i="13"/>
  <c r="D16" i="13"/>
  <c r="D193" i="13"/>
  <c r="D14" i="13"/>
  <c r="D192" i="13"/>
  <c r="D195" i="13"/>
  <c r="C16" i="13"/>
  <c r="C193" i="13"/>
  <c r="C14" i="13"/>
  <c r="C192" i="13"/>
  <c r="C195" i="13"/>
  <c r="H194" i="13"/>
  <c r="G194" i="13"/>
  <c r="F194" i="13"/>
  <c r="E194" i="13"/>
  <c r="D194" i="13"/>
  <c r="C194" i="13"/>
  <c r="H191" i="13"/>
  <c r="G191" i="13"/>
  <c r="F191" i="13"/>
  <c r="E191" i="13"/>
  <c r="D191" i="13"/>
  <c r="C191" i="13"/>
  <c r="H151" i="13"/>
  <c r="H179" i="13"/>
  <c r="H189" i="13"/>
  <c r="G151" i="13"/>
  <c r="G179" i="13"/>
  <c r="G189" i="13"/>
  <c r="F151" i="13"/>
  <c r="F179" i="13"/>
  <c r="F189" i="13"/>
  <c r="E151" i="13"/>
  <c r="E179" i="13"/>
  <c r="E189" i="13"/>
  <c r="D151" i="13"/>
  <c r="D179" i="13"/>
  <c r="D189" i="13"/>
  <c r="C151" i="13"/>
  <c r="C179" i="13"/>
  <c r="C189" i="13"/>
  <c r="G188" i="13"/>
  <c r="F188" i="13"/>
  <c r="E188" i="13"/>
  <c r="D188" i="13"/>
  <c r="H186" i="13"/>
  <c r="G186" i="13"/>
  <c r="F186" i="13"/>
  <c r="E186" i="13"/>
  <c r="D186" i="13"/>
  <c r="C186" i="13"/>
  <c r="C154" i="13"/>
  <c r="C156" i="13"/>
  <c r="D154" i="13"/>
  <c r="D142" i="13"/>
  <c r="D156" i="13"/>
  <c r="E154" i="13"/>
  <c r="E142" i="13"/>
  <c r="E156" i="13"/>
  <c r="F154" i="13"/>
  <c r="F142" i="13"/>
  <c r="F156" i="13"/>
  <c r="G154" i="13"/>
  <c r="G142" i="13"/>
  <c r="G156" i="13"/>
  <c r="H154" i="13"/>
  <c r="H156" i="13"/>
  <c r="C182" i="13" a="1"/>
  <c r="C182" i="13"/>
  <c r="I182" i="13"/>
  <c r="C177" i="13"/>
  <c r="C178" i="13"/>
  <c r="C180" i="13"/>
  <c r="C181" i="13"/>
  <c r="D177" i="13"/>
  <c r="D178" i="13"/>
  <c r="D180" i="13"/>
  <c r="D181" i="13"/>
  <c r="E177" i="13"/>
  <c r="E178" i="13"/>
  <c r="E180" i="13"/>
  <c r="E181" i="13"/>
  <c r="F177" i="13"/>
  <c r="F178" i="13"/>
  <c r="F180" i="13"/>
  <c r="F181" i="13"/>
  <c r="G177" i="13"/>
  <c r="G178" i="13"/>
  <c r="G180" i="13"/>
  <c r="G181" i="13"/>
  <c r="H177" i="13"/>
  <c r="H178" i="13"/>
  <c r="H180" i="13"/>
  <c r="H181" i="13"/>
  <c r="I181" i="13"/>
  <c r="I180" i="13"/>
  <c r="I179" i="13"/>
  <c r="I178" i="13"/>
  <c r="I177" i="13"/>
  <c r="I176" i="13"/>
  <c r="I175" i="13"/>
  <c r="I174" i="13"/>
  <c r="I173" i="13"/>
  <c r="I172" i="13"/>
  <c r="C170" i="13"/>
  <c r="C171" i="13"/>
  <c r="D170" i="13"/>
  <c r="D171" i="13"/>
  <c r="E170" i="13"/>
  <c r="E171" i="13"/>
  <c r="F170" i="13"/>
  <c r="F171" i="13"/>
  <c r="G170" i="13"/>
  <c r="G171" i="13"/>
  <c r="H170" i="13"/>
  <c r="H171" i="13"/>
  <c r="I171" i="13"/>
  <c r="I170" i="13"/>
  <c r="C168" i="13"/>
  <c r="D168" i="13"/>
  <c r="E168" i="13"/>
  <c r="F168" i="13"/>
  <c r="G168" i="13"/>
  <c r="H168" i="13"/>
  <c r="I168" i="13"/>
  <c r="I169" i="13"/>
  <c r="H169" i="13"/>
  <c r="G169" i="13"/>
  <c r="F169" i="13"/>
  <c r="E169" i="13"/>
  <c r="D169" i="13"/>
  <c r="C169" i="13"/>
  <c r="B167" i="13"/>
  <c r="B166" i="13"/>
  <c r="C164" i="13"/>
  <c r="B164" i="13"/>
  <c r="H158" i="13"/>
  <c r="H159" i="13"/>
  <c r="G158" i="13"/>
  <c r="G159" i="13"/>
  <c r="F157" i="13"/>
  <c r="F158" i="13"/>
  <c r="F159" i="13"/>
  <c r="E158" i="13"/>
  <c r="E159" i="13"/>
  <c r="D157" i="13"/>
  <c r="D158" i="13"/>
  <c r="D159" i="13"/>
  <c r="C157" i="13"/>
  <c r="C158" i="13"/>
  <c r="C159" i="13"/>
  <c r="Y158" i="13"/>
  <c r="X158" i="13"/>
  <c r="W158" i="13"/>
  <c r="V158" i="13"/>
  <c r="U158" i="13"/>
  <c r="T158" i="13"/>
  <c r="S158" i="13"/>
  <c r="P158" i="13"/>
  <c r="O158" i="13"/>
  <c r="N158" i="13"/>
  <c r="M158" i="13"/>
  <c r="L158" i="13"/>
  <c r="K158" i="13"/>
  <c r="I157" i="13"/>
  <c r="I156" i="13"/>
  <c r="I158" i="13"/>
  <c r="Y157" i="13"/>
  <c r="X157" i="13"/>
  <c r="W157" i="13"/>
  <c r="V157" i="13"/>
  <c r="U157" i="13"/>
  <c r="T157" i="13"/>
  <c r="S157" i="13"/>
  <c r="P157" i="13"/>
  <c r="O157" i="13"/>
  <c r="N157" i="13"/>
  <c r="M157" i="13"/>
  <c r="L157" i="13"/>
  <c r="K157" i="13"/>
  <c r="Y156" i="13"/>
  <c r="X156" i="13"/>
  <c r="W156" i="13"/>
  <c r="V156" i="13"/>
  <c r="U156" i="13"/>
  <c r="T156" i="13"/>
  <c r="S156" i="13"/>
  <c r="P156" i="13"/>
  <c r="O156" i="13"/>
  <c r="N156" i="13"/>
  <c r="M156" i="13"/>
  <c r="L156" i="13"/>
  <c r="K156" i="13"/>
  <c r="Y155" i="13"/>
  <c r="X155" i="13"/>
  <c r="W155" i="13"/>
  <c r="V155" i="13"/>
  <c r="U155" i="13"/>
  <c r="T155" i="13"/>
  <c r="P155" i="13"/>
  <c r="O155" i="13"/>
  <c r="N155" i="13"/>
  <c r="M155" i="13"/>
  <c r="L155" i="13"/>
  <c r="K155" i="13"/>
  <c r="I155" i="13"/>
  <c r="Y154" i="13"/>
  <c r="X154" i="13"/>
  <c r="W154" i="13"/>
  <c r="V154" i="13"/>
  <c r="U154" i="13"/>
  <c r="T154" i="13"/>
  <c r="S154" i="13"/>
  <c r="P154" i="13"/>
  <c r="O154" i="13"/>
  <c r="N154" i="13"/>
  <c r="M154" i="13"/>
  <c r="L154" i="13"/>
  <c r="K154" i="13"/>
  <c r="I154" i="13"/>
  <c r="Y153" i="13"/>
  <c r="X153" i="13"/>
  <c r="W153" i="13"/>
  <c r="V153" i="13"/>
  <c r="U153" i="13"/>
  <c r="T153" i="13"/>
  <c r="P153" i="13"/>
  <c r="O153" i="13"/>
  <c r="N153" i="13"/>
  <c r="M153" i="13"/>
  <c r="L153" i="13"/>
  <c r="K153" i="13"/>
  <c r="I153" i="13"/>
  <c r="Y152" i="13"/>
  <c r="X152" i="13"/>
  <c r="W152" i="13"/>
  <c r="V152" i="13"/>
  <c r="U152" i="13"/>
  <c r="T152" i="13"/>
  <c r="S152" i="13"/>
  <c r="P152" i="13"/>
  <c r="O152" i="13"/>
  <c r="N152" i="13"/>
  <c r="M152" i="13"/>
  <c r="L152" i="13"/>
  <c r="K152" i="13"/>
  <c r="I152" i="13"/>
  <c r="I151" i="13"/>
  <c r="Y150" i="13"/>
  <c r="X150" i="13"/>
  <c r="W150" i="13"/>
  <c r="T150" i="13"/>
  <c r="S150" i="13"/>
  <c r="P150" i="13"/>
  <c r="O150" i="13"/>
  <c r="N150" i="13"/>
  <c r="M150" i="13"/>
  <c r="L150" i="13"/>
  <c r="K150" i="13"/>
  <c r="I150" i="13"/>
  <c r="Y149" i="13"/>
  <c r="X149" i="13"/>
  <c r="W149" i="13"/>
  <c r="T149" i="13"/>
  <c r="S149" i="13"/>
  <c r="P149" i="13"/>
  <c r="O149" i="13"/>
  <c r="N149" i="13"/>
  <c r="M149" i="13"/>
  <c r="L149" i="13"/>
  <c r="K149" i="13"/>
  <c r="I149" i="13"/>
  <c r="V148" i="13"/>
  <c r="T148" i="13"/>
  <c r="P148" i="13"/>
  <c r="O148" i="13"/>
  <c r="N148" i="13"/>
  <c r="M148" i="13"/>
  <c r="L148" i="13"/>
  <c r="K148" i="13"/>
  <c r="I148" i="13"/>
  <c r="V147" i="13"/>
  <c r="T147" i="13"/>
  <c r="P147" i="13"/>
  <c r="O147" i="13"/>
  <c r="N147" i="13"/>
  <c r="M147" i="13"/>
  <c r="L147" i="13"/>
  <c r="K147" i="13"/>
  <c r="I147" i="13"/>
  <c r="W146" i="13"/>
  <c r="V146" i="13"/>
  <c r="U146" i="13"/>
  <c r="T146" i="13"/>
  <c r="P146" i="13"/>
  <c r="O146" i="13"/>
  <c r="N146" i="13"/>
  <c r="M146" i="13"/>
  <c r="L146" i="13"/>
  <c r="K146" i="13"/>
  <c r="I146" i="13"/>
  <c r="Y145" i="13"/>
  <c r="X145" i="13"/>
  <c r="W145" i="13"/>
  <c r="V145" i="13"/>
  <c r="T145" i="13"/>
  <c r="S145" i="13"/>
  <c r="P145" i="13"/>
  <c r="O145" i="13"/>
  <c r="N145" i="13"/>
  <c r="M145" i="13"/>
  <c r="L145" i="13"/>
  <c r="K145" i="13"/>
  <c r="I145" i="13"/>
  <c r="Y144" i="13"/>
  <c r="X144" i="13"/>
  <c r="W144" i="13"/>
  <c r="V144" i="13"/>
  <c r="U144" i="13"/>
  <c r="T144" i="13"/>
  <c r="S144" i="13"/>
  <c r="P144" i="13"/>
  <c r="O144" i="13"/>
  <c r="N144" i="13"/>
  <c r="M144" i="13"/>
  <c r="L144" i="13"/>
  <c r="K144" i="13"/>
  <c r="I144" i="13"/>
  <c r="Y142" i="13"/>
  <c r="X142" i="13"/>
  <c r="W142" i="13"/>
  <c r="V142" i="13"/>
  <c r="U142" i="13"/>
  <c r="T142" i="13"/>
  <c r="P142" i="13"/>
  <c r="O142" i="13"/>
  <c r="N142" i="13"/>
  <c r="M142" i="13"/>
  <c r="L142" i="13"/>
  <c r="K142" i="13"/>
  <c r="I142" i="13"/>
  <c r="Y141" i="13"/>
  <c r="X141" i="13"/>
  <c r="W141" i="13"/>
  <c r="V141" i="13"/>
  <c r="U141" i="13"/>
  <c r="T141" i="13"/>
  <c r="S141" i="13"/>
  <c r="P141" i="13"/>
  <c r="O141" i="13"/>
  <c r="N141" i="13"/>
  <c r="M141" i="13"/>
  <c r="L141" i="13"/>
  <c r="K141" i="13"/>
  <c r="I141" i="13"/>
  <c r="X140" i="13"/>
  <c r="W140" i="13"/>
  <c r="U140" i="13"/>
  <c r="T140" i="13"/>
  <c r="P140" i="13"/>
  <c r="O140" i="13"/>
  <c r="N140" i="13"/>
  <c r="M140" i="13"/>
  <c r="L140" i="13"/>
  <c r="K140" i="13"/>
  <c r="I140" i="13"/>
  <c r="X139" i="13"/>
  <c r="W139" i="13"/>
  <c r="V139" i="13"/>
  <c r="U139" i="13"/>
  <c r="T139" i="13"/>
  <c r="P139" i="13"/>
  <c r="O139" i="13"/>
  <c r="N139" i="13"/>
  <c r="M139" i="13"/>
  <c r="L139" i="13"/>
  <c r="K139" i="13"/>
  <c r="I139" i="13"/>
  <c r="X138" i="13"/>
  <c r="W138" i="13"/>
  <c r="U138" i="13"/>
  <c r="T138" i="13"/>
  <c r="P138" i="13"/>
  <c r="O138" i="13"/>
  <c r="N138" i="13"/>
  <c r="M138" i="13"/>
  <c r="L138" i="13"/>
  <c r="K138" i="13"/>
  <c r="I138" i="13"/>
  <c r="Y137" i="13"/>
  <c r="X137" i="13"/>
  <c r="T137" i="13"/>
  <c r="S137" i="13"/>
  <c r="P137" i="13"/>
  <c r="O137" i="13"/>
  <c r="N137" i="13"/>
  <c r="M137" i="13"/>
  <c r="L137" i="13"/>
  <c r="K137" i="13"/>
  <c r="I137" i="13"/>
  <c r="Y136" i="13"/>
  <c r="X136" i="13"/>
  <c r="W136" i="13"/>
  <c r="V136" i="13"/>
  <c r="U136" i="13"/>
  <c r="T136" i="13"/>
  <c r="S136" i="13"/>
  <c r="P136" i="13"/>
  <c r="O136" i="13"/>
  <c r="N136" i="13"/>
  <c r="M136" i="13"/>
  <c r="L136" i="13"/>
  <c r="K136" i="13"/>
  <c r="I136" i="13"/>
  <c r="C134" i="13"/>
  <c r="D134" i="13"/>
  <c r="E134" i="13"/>
  <c r="F134" i="13"/>
  <c r="G134" i="13"/>
  <c r="H134" i="13"/>
  <c r="I134" i="13"/>
  <c r="C125" i="13"/>
  <c r="C126" i="13"/>
  <c r="C127" i="13"/>
  <c r="C128" i="13"/>
  <c r="C129" i="13"/>
  <c r="C130" i="13"/>
  <c r="C131" i="13"/>
  <c r="C133" i="13"/>
  <c r="D125" i="13"/>
  <c r="D126" i="13"/>
  <c r="D127" i="13"/>
  <c r="D128" i="13"/>
  <c r="D129" i="13"/>
  <c r="D130" i="13"/>
  <c r="D131" i="13"/>
  <c r="D133" i="13"/>
  <c r="E125" i="13"/>
  <c r="E126" i="13"/>
  <c r="E127" i="13"/>
  <c r="E128" i="13"/>
  <c r="E129" i="13"/>
  <c r="E130" i="13"/>
  <c r="E131" i="13"/>
  <c r="E133" i="13"/>
  <c r="F125" i="13"/>
  <c r="F126" i="13"/>
  <c r="F127" i="13"/>
  <c r="F128" i="13"/>
  <c r="F129" i="13"/>
  <c r="F130" i="13"/>
  <c r="F131" i="13"/>
  <c r="F133" i="13"/>
  <c r="G125" i="13"/>
  <c r="G126" i="13"/>
  <c r="G127" i="13"/>
  <c r="G128" i="13"/>
  <c r="G129" i="13"/>
  <c r="G130" i="13"/>
  <c r="G131" i="13"/>
  <c r="G133" i="13"/>
  <c r="H125" i="13"/>
  <c r="H126" i="13"/>
  <c r="H127" i="13"/>
  <c r="H128" i="13"/>
  <c r="H129" i="13"/>
  <c r="H130" i="13"/>
  <c r="H131" i="13"/>
  <c r="H133" i="13"/>
  <c r="I133" i="13"/>
  <c r="I132" i="13"/>
  <c r="I131" i="13"/>
  <c r="I130" i="13"/>
  <c r="I129" i="13"/>
  <c r="I128" i="13"/>
  <c r="I127" i="13"/>
  <c r="I126" i="13"/>
  <c r="I125" i="13"/>
  <c r="Y123" i="13"/>
  <c r="X123" i="13"/>
  <c r="W123" i="13"/>
  <c r="V123" i="13"/>
  <c r="U123" i="13"/>
  <c r="T123" i="13"/>
  <c r="P123" i="13"/>
  <c r="O123" i="13"/>
  <c r="N123" i="13"/>
  <c r="M123" i="13"/>
  <c r="L123" i="13"/>
  <c r="K123" i="13"/>
  <c r="I123" i="13"/>
  <c r="Y122" i="13"/>
  <c r="X122" i="13"/>
  <c r="W122" i="13"/>
  <c r="V122" i="13"/>
  <c r="U122" i="13"/>
  <c r="T122" i="13"/>
  <c r="I122" i="13"/>
  <c r="Y121" i="13"/>
  <c r="X121" i="13"/>
  <c r="W121" i="13"/>
  <c r="V121" i="13"/>
  <c r="U121" i="13"/>
  <c r="T121" i="13"/>
  <c r="S121" i="13"/>
  <c r="I121" i="13"/>
  <c r="Y120" i="13"/>
  <c r="X120" i="13"/>
  <c r="W120" i="13"/>
  <c r="V120" i="13"/>
  <c r="U120" i="13"/>
  <c r="T120" i="13"/>
  <c r="S120" i="13"/>
  <c r="I120" i="13"/>
  <c r="Y119" i="13"/>
  <c r="X119" i="13"/>
  <c r="W119" i="13"/>
  <c r="V119" i="13"/>
  <c r="U119" i="13"/>
  <c r="T119" i="13"/>
  <c r="S119" i="13"/>
  <c r="I119" i="13"/>
  <c r="Y118" i="13"/>
  <c r="X118" i="13"/>
  <c r="W118" i="13"/>
  <c r="V118" i="13"/>
  <c r="U118" i="13"/>
  <c r="T118" i="13"/>
  <c r="S118" i="13"/>
  <c r="I118" i="13"/>
  <c r="I117" i="13"/>
  <c r="Y116" i="13"/>
  <c r="X116" i="13"/>
  <c r="W116" i="13"/>
  <c r="V116" i="13"/>
  <c r="U116" i="13"/>
  <c r="T116" i="13"/>
  <c r="I116" i="13"/>
  <c r="Y115" i="13"/>
  <c r="X115" i="13"/>
  <c r="W115" i="13"/>
  <c r="V115" i="13"/>
  <c r="U115" i="13"/>
  <c r="T115" i="13"/>
  <c r="S115" i="13"/>
  <c r="I115" i="13"/>
  <c r="V114" i="13"/>
  <c r="U114" i="13"/>
  <c r="T114" i="13"/>
  <c r="I114" i="13"/>
  <c r="U113" i="13"/>
  <c r="T113" i="13"/>
  <c r="I113" i="13"/>
  <c r="X112" i="13"/>
  <c r="W112" i="13"/>
  <c r="V112" i="13"/>
  <c r="U112" i="13"/>
  <c r="T112" i="13"/>
  <c r="I112" i="13"/>
  <c r="Y111" i="13"/>
  <c r="X111" i="13"/>
  <c r="W111" i="13"/>
  <c r="V111" i="13"/>
  <c r="T111" i="13"/>
  <c r="S111" i="13"/>
  <c r="I111" i="13"/>
  <c r="Y110" i="13"/>
  <c r="X110" i="13"/>
  <c r="W110" i="13"/>
  <c r="V110" i="13"/>
  <c r="U110" i="13"/>
  <c r="T110" i="13"/>
  <c r="S110" i="13"/>
  <c r="I110" i="13"/>
  <c r="Y109" i="13"/>
  <c r="X109" i="13"/>
  <c r="W109" i="13"/>
  <c r="V109" i="13"/>
  <c r="U109" i="13"/>
  <c r="T109" i="13"/>
  <c r="S109" i="13"/>
  <c r="I109" i="13"/>
  <c r="Y108" i="13"/>
  <c r="X108" i="13"/>
  <c r="W108" i="13"/>
  <c r="V108" i="13"/>
  <c r="U108" i="13"/>
  <c r="T108" i="13"/>
  <c r="S108" i="13"/>
  <c r="I108" i="13"/>
  <c r="Y107" i="13"/>
  <c r="X107" i="13"/>
  <c r="W107" i="13"/>
  <c r="V107" i="13"/>
  <c r="U107" i="13"/>
  <c r="T107" i="13"/>
  <c r="S107" i="13"/>
  <c r="I107" i="13"/>
  <c r="U106" i="13"/>
  <c r="T106" i="13"/>
  <c r="I106" i="13"/>
  <c r="Y105" i="13"/>
  <c r="X105" i="13"/>
  <c r="W105" i="13"/>
  <c r="V105" i="13"/>
  <c r="U105" i="13"/>
  <c r="T105" i="13"/>
  <c r="S105" i="13"/>
  <c r="I105" i="13"/>
  <c r="Y104" i="13"/>
  <c r="X104" i="13"/>
  <c r="W104" i="13"/>
  <c r="V104" i="13"/>
  <c r="U104" i="13"/>
  <c r="T104" i="13"/>
  <c r="S104" i="13"/>
  <c r="I104" i="13"/>
  <c r="Y103" i="13"/>
  <c r="X103" i="13"/>
  <c r="W103" i="13"/>
  <c r="V103" i="13"/>
  <c r="U103" i="13"/>
  <c r="T103" i="13"/>
  <c r="S103" i="13"/>
  <c r="I103" i="13"/>
  <c r="B102" i="13"/>
  <c r="B101" i="13"/>
  <c r="C99" i="13"/>
  <c r="S99" i="13"/>
  <c r="K99" i="13"/>
  <c r="B99" i="13"/>
  <c r="H84" i="13"/>
  <c r="G84" i="13"/>
  <c r="F84" i="13"/>
  <c r="E84" i="13"/>
  <c r="D84" i="13"/>
  <c r="C84" i="13"/>
  <c r="Y84" i="13"/>
  <c r="X84" i="13"/>
  <c r="W84" i="13"/>
  <c r="V84" i="13"/>
  <c r="U84" i="13"/>
  <c r="T84" i="13"/>
  <c r="S84" i="13"/>
  <c r="Y83" i="13"/>
  <c r="X83" i="13"/>
  <c r="W83" i="13"/>
  <c r="V83" i="13"/>
  <c r="U83" i="13"/>
  <c r="T83" i="13"/>
  <c r="S83" i="13"/>
  <c r="Y82" i="13"/>
  <c r="X82" i="13"/>
  <c r="W82" i="13"/>
  <c r="V82" i="13"/>
  <c r="U82" i="13"/>
  <c r="T82" i="13"/>
  <c r="S82" i="13"/>
  <c r="Q76" i="13"/>
  <c r="P76" i="13"/>
  <c r="O76" i="13"/>
  <c r="N76" i="13"/>
  <c r="M76" i="13"/>
  <c r="L76" i="13"/>
  <c r="Y75" i="13"/>
  <c r="X75" i="13"/>
  <c r="W75" i="13"/>
  <c r="V75" i="13"/>
  <c r="U75" i="13"/>
  <c r="T75" i="13"/>
  <c r="Q75" i="13"/>
  <c r="P75" i="13"/>
  <c r="O75" i="13"/>
  <c r="N75" i="13"/>
  <c r="M75" i="13"/>
  <c r="L75" i="13"/>
  <c r="Y74" i="13"/>
  <c r="X74" i="13"/>
  <c r="W74" i="13"/>
  <c r="V74" i="13"/>
  <c r="U74" i="13"/>
  <c r="T74" i="13"/>
  <c r="S74" i="13"/>
  <c r="Q74" i="13"/>
  <c r="P74" i="13"/>
  <c r="O74" i="13"/>
  <c r="N74" i="13"/>
  <c r="M74" i="13"/>
  <c r="L74" i="13"/>
  <c r="Y73" i="13"/>
  <c r="X73" i="13"/>
  <c r="W73" i="13"/>
  <c r="V73" i="13"/>
  <c r="U73" i="13"/>
  <c r="T73" i="13"/>
  <c r="Q73" i="13"/>
  <c r="P73" i="13"/>
  <c r="O73" i="13"/>
  <c r="N73" i="13"/>
  <c r="M73" i="13"/>
  <c r="L73" i="13"/>
  <c r="Y72" i="13"/>
  <c r="X72" i="13"/>
  <c r="W72" i="13"/>
  <c r="V72" i="13"/>
  <c r="U72" i="13"/>
  <c r="T72" i="13"/>
  <c r="S72" i="13"/>
  <c r="Q72" i="13"/>
  <c r="P72" i="13"/>
  <c r="O72" i="13"/>
  <c r="N72" i="13"/>
  <c r="M72" i="13"/>
  <c r="L72" i="13"/>
  <c r="Y71" i="13"/>
  <c r="X71" i="13"/>
  <c r="W71" i="13"/>
  <c r="V71" i="13"/>
  <c r="U71" i="13"/>
  <c r="T71" i="13"/>
  <c r="S71" i="13"/>
  <c r="Q71" i="13"/>
  <c r="P71" i="13"/>
  <c r="O71" i="13"/>
  <c r="N71" i="13"/>
  <c r="M71" i="13"/>
  <c r="L71" i="13"/>
  <c r="Y70" i="13"/>
  <c r="X70" i="13"/>
  <c r="W70" i="13"/>
  <c r="V70" i="13"/>
  <c r="U70" i="13"/>
  <c r="T70" i="13"/>
  <c r="S70" i="13"/>
  <c r="Q70" i="13"/>
  <c r="P70" i="13"/>
  <c r="O70" i="13"/>
  <c r="N70" i="13"/>
  <c r="M70" i="13"/>
  <c r="L70" i="13"/>
  <c r="Y69" i="13"/>
  <c r="X69" i="13"/>
  <c r="W69" i="13"/>
  <c r="V69" i="13"/>
  <c r="U69" i="13"/>
  <c r="T69" i="13"/>
  <c r="Q69" i="13"/>
  <c r="P69" i="13"/>
  <c r="O69" i="13"/>
  <c r="N69" i="13"/>
  <c r="M69" i="13"/>
  <c r="L69" i="13"/>
  <c r="Y68" i="13"/>
  <c r="X68" i="13"/>
  <c r="W68" i="13"/>
  <c r="V68" i="13"/>
  <c r="U68" i="13"/>
  <c r="T68" i="13"/>
  <c r="S68" i="13"/>
  <c r="Q68" i="13"/>
  <c r="P68" i="13"/>
  <c r="O68" i="13"/>
  <c r="N68" i="13"/>
  <c r="M68" i="13"/>
  <c r="L68" i="13"/>
  <c r="Q65" i="13"/>
  <c r="P65" i="13"/>
  <c r="O65" i="13"/>
  <c r="N65" i="13"/>
  <c r="M65" i="13"/>
  <c r="L65" i="13"/>
  <c r="Q64" i="13"/>
  <c r="P64" i="13"/>
  <c r="O64" i="13"/>
  <c r="N64" i="13"/>
  <c r="M64" i="13"/>
  <c r="L64" i="13"/>
  <c r="Y63" i="13"/>
  <c r="X63" i="13"/>
  <c r="W63" i="13"/>
  <c r="V63" i="13"/>
  <c r="U63" i="13"/>
  <c r="T63" i="13"/>
  <c r="S63" i="13"/>
  <c r="Q63" i="13"/>
  <c r="P63" i="13"/>
  <c r="O63" i="13"/>
  <c r="N63" i="13"/>
  <c r="M63" i="13"/>
  <c r="L63" i="13"/>
  <c r="Y62" i="13"/>
  <c r="X62" i="13"/>
  <c r="W62" i="13"/>
  <c r="V62" i="13"/>
  <c r="U62" i="13"/>
  <c r="T62" i="13"/>
  <c r="S62" i="13"/>
  <c r="Q62" i="13"/>
  <c r="P62" i="13"/>
  <c r="O62" i="13"/>
  <c r="N62" i="13"/>
  <c r="M62" i="13"/>
  <c r="L62" i="13"/>
  <c r="Y61" i="13"/>
  <c r="X61" i="13"/>
  <c r="W61" i="13"/>
  <c r="V61" i="13"/>
  <c r="U61" i="13"/>
  <c r="T61" i="13"/>
  <c r="S61" i="13"/>
  <c r="Q61" i="13"/>
  <c r="P61" i="13"/>
  <c r="O61" i="13"/>
  <c r="N61" i="13"/>
  <c r="M61" i="13"/>
  <c r="L61" i="13"/>
  <c r="Y60" i="13"/>
  <c r="X60" i="13"/>
  <c r="W60" i="13"/>
  <c r="V60" i="13"/>
  <c r="U60" i="13"/>
  <c r="T60" i="13"/>
  <c r="Q60" i="13"/>
  <c r="P60" i="13"/>
  <c r="O60" i="13"/>
  <c r="N60" i="13"/>
  <c r="M60" i="13"/>
  <c r="L60" i="13"/>
  <c r="S56" i="13"/>
  <c r="C53" i="13"/>
  <c r="C52" i="13"/>
  <c r="D53" i="13"/>
  <c r="D52" i="13"/>
  <c r="E53" i="13"/>
  <c r="E52" i="13"/>
  <c r="F53" i="13"/>
  <c r="F52" i="13"/>
  <c r="G53" i="13"/>
  <c r="G52" i="13"/>
  <c r="H52" i="13"/>
  <c r="I52" i="13"/>
  <c r="I53" i="13"/>
  <c r="I54" i="13"/>
  <c r="C47" i="13"/>
  <c r="C49" i="13"/>
  <c r="C51" i="13"/>
  <c r="D47" i="13"/>
  <c r="D49" i="13"/>
  <c r="D51" i="13"/>
  <c r="E47" i="13"/>
  <c r="E49" i="13"/>
  <c r="E51" i="13"/>
  <c r="F47" i="13"/>
  <c r="F49" i="13"/>
  <c r="F51" i="13"/>
  <c r="G47" i="13"/>
  <c r="G49" i="13"/>
  <c r="G51" i="13"/>
  <c r="H47" i="13"/>
  <c r="H49" i="13"/>
  <c r="H51" i="13"/>
  <c r="I51" i="13"/>
  <c r="I50" i="13"/>
  <c r="I49" i="13"/>
  <c r="I48" i="13"/>
  <c r="I47" i="13"/>
  <c r="B46" i="13"/>
  <c r="B45" i="13"/>
  <c r="B43" i="13"/>
  <c r="H30" i="13"/>
  <c r="H31" i="13"/>
  <c r="H32" i="13"/>
  <c r="H35" i="13"/>
  <c r="H36" i="13"/>
  <c r="G30" i="13"/>
  <c r="G31" i="13"/>
  <c r="G32" i="13"/>
  <c r="G35" i="13"/>
  <c r="G36" i="13"/>
  <c r="F30" i="13"/>
  <c r="F31" i="13"/>
  <c r="F32" i="13"/>
  <c r="F35" i="13"/>
  <c r="F36" i="13"/>
  <c r="E30" i="13"/>
  <c r="E31" i="13"/>
  <c r="E32" i="13"/>
  <c r="E35" i="13"/>
  <c r="E36" i="13"/>
  <c r="D30" i="13"/>
  <c r="D31" i="13"/>
  <c r="D32" i="13"/>
  <c r="D35" i="13"/>
  <c r="D36" i="13"/>
  <c r="C30" i="13"/>
  <c r="C31" i="13"/>
  <c r="C32" i="13"/>
  <c r="C35" i="13"/>
  <c r="C36" i="13"/>
  <c r="Y35" i="13"/>
  <c r="X35" i="13"/>
  <c r="W35" i="13"/>
  <c r="V35" i="13"/>
  <c r="U35" i="13"/>
  <c r="T35" i="13"/>
  <c r="S35" i="13"/>
  <c r="P35" i="13"/>
  <c r="O35" i="13"/>
  <c r="N35" i="13"/>
  <c r="M35" i="13"/>
  <c r="L35" i="13"/>
  <c r="K35" i="13"/>
  <c r="Y34" i="13"/>
  <c r="X34" i="13"/>
  <c r="W34" i="13"/>
  <c r="V34" i="13"/>
  <c r="U34" i="13"/>
  <c r="T34" i="13"/>
  <c r="S34" i="13"/>
  <c r="P34" i="13"/>
  <c r="O34" i="13"/>
  <c r="N34" i="13"/>
  <c r="M34" i="13"/>
  <c r="L34" i="13"/>
  <c r="K34" i="13"/>
  <c r="Y33" i="13"/>
  <c r="X33" i="13"/>
  <c r="U33" i="13"/>
  <c r="T33" i="13"/>
  <c r="S33" i="13"/>
  <c r="P33" i="13"/>
  <c r="O33" i="13"/>
  <c r="N33" i="13"/>
  <c r="M33" i="13"/>
  <c r="L33" i="13"/>
  <c r="K33" i="13"/>
  <c r="Y32" i="13"/>
  <c r="X32" i="13"/>
  <c r="W32" i="13"/>
  <c r="V32" i="13"/>
  <c r="U32" i="13"/>
  <c r="T32" i="13"/>
  <c r="S32" i="13"/>
  <c r="P32" i="13"/>
  <c r="O32" i="13"/>
  <c r="N32" i="13"/>
  <c r="M32" i="13"/>
  <c r="L32" i="13"/>
  <c r="K32" i="13"/>
  <c r="Y31" i="13"/>
  <c r="X31" i="13"/>
  <c r="W31" i="13"/>
  <c r="V31" i="13"/>
  <c r="U31" i="13"/>
  <c r="T31" i="13"/>
  <c r="S31" i="13"/>
  <c r="P31" i="13"/>
  <c r="O31" i="13"/>
  <c r="N31" i="13"/>
  <c r="M31" i="13"/>
  <c r="L31" i="13"/>
  <c r="K31" i="13"/>
  <c r="Y29" i="13"/>
  <c r="X29" i="13"/>
  <c r="W29" i="13"/>
  <c r="V29" i="13"/>
  <c r="U29" i="13"/>
  <c r="T29" i="13"/>
  <c r="S29" i="13"/>
  <c r="P29" i="13"/>
  <c r="O29" i="13"/>
  <c r="N29" i="13"/>
  <c r="M29" i="13"/>
  <c r="L29" i="13"/>
  <c r="K29" i="13"/>
  <c r="Y28" i="13"/>
  <c r="X28" i="13"/>
  <c r="W28" i="13"/>
  <c r="V28" i="13"/>
  <c r="U28" i="13"/>
  <c r="T28" i="13"/>
  <c r="S28" i="13"/>
  <c r="P28" i="13"/>
  <c r="O28" i="13"/>
  <c r="N28" i="13"/>
  <c r="M28" i="13"/>
  <c r="L28" i="13"/>
  <c r="K28" i="13"/>
  <c r="Y27" i="13"/>
  <c r="X27" i="13"/>
  <c r="W27" i="13"/>
  <c r="V27" i="13"/>
  <c r="U27" i="13"/>
  <c r="T27" i="13"/>
  <c r="S27" i="13"/>
  <c r="P27" i="13"/>
  <c r="O27" i="13"/>
  <c r="N27" i="13"/>
  <c r="M27" i="13"/>
  <c r="L27" i="13"/>
  <c r="K27" i="13"/>
  <c r="P25" i="13"/>
  <c r="O25" i="13"/>
  <c r="N25" i="13"/>
  <c r="M25" i="13"/>
  <c r="L25" i="13"/>
  <c r="K25" i="13"/>
  <c r="Y24" i="13"/>
  <c r="X24" i="13"/>
  <c r="W24" i="13"/>
  <c r="V24" i="13"/>
  <c r="U24" i="13"/>
  <c r="T24" i="13"/>
  <c r="S24" i="13"/>
  <c r="P24" i="13"/>
  <c r="O24" i="13"/>
  <c r="N24" i="13"/>
  <c r="M24" i="13"/>
  <c r="L24" i="13"/>
  <c r="K24" i="13"/>
  <c r="Y23" i="13"/>
  <c r="X23" i="13"/>
  <c r="W23" i="13"/>
  <c r="V23" i="13"/>
  <c r="U23" i="13"/>
  <c r="T23" i="13"/>
  <c r="S23" i="13"/>
  <c r="P23" i="13"/>
  <c r="O23" i="13"/>
  <c r="N23" i="13"/>
  <c r="M23" i="13"/>
  <c r="L23" i="13"/>
  <c r="K23" i="13"/>
  <c r="Y21" i="13"/>
  <c r="X21" i="13"/>
  <c r="W21" i="13"/>
  <c r="V21" i="13"/>
  <c r="U21" i="13"/>
  <c r="T21" i="13"/>
  <c r="S21" i="13"/>
  <c r="P21" i="13"/>
  <c r="O21" i="13"/>
  <c r="N21" i="13"/>
  <c r="M21" i="13"/>
  <c r="L21" i="13"/>
  <c r="K21" i="13"/>
  <c r="Y20" i="13"/>
  <c r="X20" i="13"/>
  <c r="W20" i="13"/>
  <c r="V20" i="13"/>
  <c r="U20" i="13"/>
  <c r="T20" i="13"/>
  <c r="S20" i="13"/>
  <c r="P20" i="13"/>
  <c r="O20" i="13"/>
  <c r="N20" i="13"/>
  <c r="M20" i="13"/>
  <c r="L20" i="13"/>
  <c r="K20" i="13"/>
  <c r="Y19" i="13"/>
  <c r="X19" i="13"/>
  <c r="W19" i="13"/>
  <c r="V19" i="13"/>
  <c r="U19" i="13"/>
  <c r="T19" i="13"/>
  <c r="S19" i="13"/>
  <c r="P19" i="13"/>
  <c r="O19" i="13"/>
  <c r="N19" i="13"/>
  <c r="M19" i="13"/>
  <c r="L19" i="13"/>
  <c r="K19" i="13"/>
  <c r="Y17" i="13"/>
  <c r="X17" i="13"/>
  <c r="W17" i="13"/>
  <c r="V17" i="13"/>
  <c r="U17" i="13"/>
  <c r="T17" i="13"/>
  <c r="S17" i="13"/>
  <c r="P17" i="13"/>
  <c r="O17" i="13"/>
  <c r="N17" i="13"/>
  <c r="M17" i="13"/>
  <c r="L17" i="13"/>
  <c r="K17" i="13"/>
  <c r="Y16" i="13"/>
  <c r="X16" i="13"/>
  <c r="W16" i="13"/>
  <c r="V16" i="13"/>
  <c r="U16" i="13"/>
  <c r="T16" i="13"/>
  <c r="S16" i="13"/>
  <c r="P16" i="13"/>
  <c r="O16" i="13"/>
  <c r="N16" i="13"/>
  <c r="M16" i="13"/>
  <c r="L16" i="13"/>
  <c r="K16" i="13"/>
  <c r="G15" i="13"/>
  <c r="H15" i="13"/>
  <c r="Y15" i="13"/>
  <c r="F15" i="13"/>
  <c r="X15" i="13"/>
  <c r="E15" i="13"/>
  <c r="W15" i="13"/>
  <c r="D15" i="13"/>
  <c r="V15" i="13"/>
  <c r="C15" i="13"/>
  <c r="U15" i="13"/>
  <c r="T15" i="13"/>
  <c r="S15" i="13"/>
  <c r="P15" i="13"/>
  <c r="O15" i="13"/>
  <c r="N15" i="13"/>
  <c r="M15" i="13"/>
  <c r="L15" i="13"/>
  <c r="K15" i="13"/>
  <c r="Y14" i="13"/>
  <c r="X14" i="13"/>
  <c r="W14" i="13"/>
  <c r="V14" i="13"/>
  <c r="U14" i="13"/>
  <c r="T14" i="13"/>
  <c r="S14" i="13"/>
  <c r="P14" i="13"/>
  <c r="O14" i="13"/>
  <c r="N14" i="13"/>
  <c r="M14" i="13"/>
  <c r="L14" i="13"/>
  <c r="K14" i="13"/>
  <c r="G13" i="13"/>
  <c r="H13" i="13"/>
  <c r="Y13" i="13"/>
  <c r="F13" i="13"/>
  <c r="X13" i="13"/>
  <c r="E13" i="13"/>
  <c r="W13" i="13"/>
  <c r="D13" i="13"/>
  <c r="V13" i="13"/>
  <c r="C13" i="13"/>
  <c r="U13" i="13"/>
  <c r="T13" i="13"/>
  <c r="S13" i="13"/>
  <c r="P13" i="13"/>
  <c r="O13" i="13"/>
  <c r="N13" i="13"/>
  <c r="M13" i="13"/>
  <c r="L13" i="13"/>
  <c r="K13" i="13"/>
  <c r="G12" i="13"/>
  <c r="H12" i="13"/>
  <c r="Y12" i="13"/>
  <c r="F12" i="13"/>
  <c r="X12" i="13"/>
  <c r="E12" i="13"/>
  <c r="W12" i="13"/>
  <c r="D12" i="13"/>
  <c r="V12" i="13"/>
  <c r="C12" i="13"/>
  <c r="U12" i="13"/>
  <c r="T12" i="13"/>
  <c r="S12" i="13"/>
  <c r="P12" i="13"/>
  <c r="O12" i="13"/>
  <c r="N12" i="13"/>
  <c r="M12" i="13"/>
  <c r="L12" i="13"/>
  <c r="K12" i="13"/>
  <c r="Y11" i="13"/>
  <c r="X11" i="13"/>
  <c r="W11" i="13"/>
  <c r="V11" i="13"/>
  <c r="U11" i="13"/>
  <c r="T11" i="13"/>
  <c r="S11" i="13"/>
  <c r="P11" i="13"/>
  <c r="O11" i="13"/>
  <c r="N11" i="13"/>
  <c r="M11" i="13"/>
  <c r="L11" i="13"/>
  <c r="K11" i="13"/>
  <c r="Y10" i="13"/>
  <c r="X10" i="13"/>
  <c r="W10" i="13"/>
  <c r="V10" i="13"/>
  <c r="U10" i="13"/>
  <c r="T10" i="13"/>
  <c r="S10" i="13"/>
  <c r="P10" i="13"/>
  <c r="O10" i="13"/>
  <c r="N10" i="13"/>
  <c r="M10" i="13"/>
  <c r="L10" i="13"/>
  <c r="K10" i="13"/>
  <c r="Y9" i="13"/>
  <c r="X9" i="13"/>
  <c r="W9" i="13"/>
  <c r="V9" i="13"/>
  <c r="U9" i="13"/>
  <c r="T9" i="13"/>
  <c r="S9" i="13"/>
  <c r="P9" i="13"/>
  <c r="O9" i="13"/>
  <c r="N9" i="13"/>
  <c r="M9" i="13"/>
  <c r="L9" i="13"/>
  <c r="K9" i="13"/>
  <c r="Y8" i="13"/>
  <c r="X8" i="13"/>
  <c r="W8" i="13"/>
  <c r="V8" i="13"/>
  <c r="U8" i="13"/>
  <c r="T8" i="13"/>
  <c r="S8" i="13"/>
  <c r="P8" i="13"/>
  <c r="O8" i="13"/>
  <c r="N8" i="13"/>
  <c r="M8" i="13"/>
  <c r="L8" i="13"/>
  <c r="K8" i="13"/>
  <c r="Y6" i="13"/>
  <c r="X6" i="13"/>
  <c r="W6" i="13"/>
  <c r="V6" i="13"/>
  <c r="U6" i="13"/>
  <c r="T6" i="13"/>
  <c r="S6" i="13"/>
  <c r="P6" i="13"/>
  <c r="O6" i="13"/>
  <c r="N6" i="13"/>
  <c r="M6" i="13"/>
  <c r="L6" i="13"/>
  <c r="K6" i="13"/>
  <c r="S1" i="13"/>
  <c r="K1" i="13"/>
  <c r="B62" i="10"/>
  <c r="B68" i="10"/>
  <c r="B69" i="10"/>
  <c r="B72" i="10"/>
  <c r="H71" i="10"/>
  <c r="C62" i="10"/>
  <c r="C68" i="10"/>
  <c r="C69" i="10"/>
  <c r="C72" i="10"/>
  <c r="D62" i="10"/>
  <c r="D68" i="10"/>
  <c r="D69" i="10"/>
  <c r="D72" i="10"/>
  <c r="E62" i="10"/>
  <c r="E68" i="10"/>
  <c r="E69" i="10"/>
  <c r="E72" i="10"/>
  <c r="F62" i="10"/>
  <c r="F68" i="10"/>
  <c r="F69" i="10"/>
  <c r="F72" i="10"/>
  <c r="G62" i="10"/>
  <c r="G68" i="10"/>
  <c r="G69" i="10"/>
  <c r="G72" i="10"/>
  <c r="B74" i="10"/>
  <c r="B76" i="10"/>
  <c r="C74" i="10"/>
  <c r="C76" i="10"/>
  <c r="D74" i="10"/>
  <c r="D76" i="10"/>
  <c r="E74" i="10"/>
  <c r="E76" i="10"/>
  <c r="F74" i="10"/>
  <c r="F76" i="10"/>
  <c r="G74" i="10"/>
  <c r="G76" i="10"/>
  <c r="B79" i="10"/>
  <c r="C79" i="10"/>
  <c r="D79" i="10"/>
  <c r="E79" i="10"/>
  <c r="F79" i="10"/>
  <c r="G79" i="10"/>
  <c r="A147" i="10"/>
  <c r="B147" i="10"/>
  <c r="A149" i="10"/>
  <c r="A150" i="10"/>
  <c r="B151" i="10"/>
  <c r="C151" i="10"/>
  <c r="D151" i="10"/>
  <c r="E151" i="10"/>
  <c r="F151" i="10"/>
  <c r="G151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B164" i="10"/>
  <c r="C164" i="10"/>
  <c r="D164" i="10"/>
  <c r="E164" i="10"/>
  <c r="F164" i="10"/>
  <c r="G164" i="10"/>
  <c r="H164" i="10"/>
  <c r="H165" i="10"/>
  <c r="H166" i="10"/>
  <c r="H167" i="10"/>
  <c r="H168" i="10"/>
  <c r="H169" i="10"/>
  <c r="H170" i="10"/>
  <c r="B171" i="10"/>
  <c r="C171" i="10"/>
  <c r="D171" i="10"/>
  <c r="E171" i="10"/>
  <c r="F171" i="10"/>
  <c r="G171" i="10"/>
  <c r="H171" i="10"/>
  <c r="B173" i="10"/>
  <c r="C173" i="10"/>
  <c r="D173" i="10"/>
  <c r="E173" i="10"/>
  <c r="F173" i="10"/>
  <c r="G173" i="10"/>
  <c r="H173" i="10"/>
  <c r="B174" i="10"/>
  <c r="C174" i="10"/>
  <c r="D174" i="10"/>
  <c r="E174" i="10"/>
  <c r="F174" i="10"/>
  <c r="G174" i="10"/>
  <c r="H174" i="10"/>
  <c r="B175" i="10"/>
  <c r="C175" i="10"/>
  <c r="D175" i="10"/>
  <c r="E175" i="10"/>
  <c r="F175" i="10"/>
  <c r="G175" i="10"/>
  <c r="H175" i="10"/>
  <c r="B176" i="10"/>
  <c r="C176" i="10"/>
  <c r="D176" i="10"/>
  <c r="E176" i="10"/>
  <c r="F176" i="10"/>
  <c r="G176" i="10"/>
  <c r="H176" i="10"/>
  <c r="B177" i="10"/>
  <c r="C177" i="10"/>
  <c r="D177" i="10"/>
  <c r="E177" i="10"/>
  <c r="F177" i="10"/>
  <c r="G177" i="10"/>
  <c r="H177" i="10"/>
  <c r="B178" i="10"/>
  <c r="C178" i="10"/>
  <c r="D178" i="10"/>
  <c r="E178" i="10"/>
  <c r="F178" i="10"/>
  <c r="G178" i="10"/>
  <c r="H178" i="10"/>
  <c r="B179" i="10"/>
  <c r="C179" i="10"/>
  <c r="D179" i="10"/>
  <c r="E179" i="10"/>
  <c r="F179" i="10"/>
  <c r="G179" i="10"/>
  <c r="H179" i="10"/>
  <c r="B180" i="10"/>
  <c r="C180" i="10"/>
  <c r="D180" i="10"/>
  <c r="E180" i="10"/>
  <c r="F180" i="10"/>
  <c r="G180" i="10"/>
  <c r="H180" i="10"/>
  <c r="B182" i="10"/>
  <c r="B181" i="10"/>
  <c r="C182" i="10"/>
  <c r="C181" i="10"/>
  <c r="D182" i="10"/>
  <c r="D181" i="10"/>
  <c r="E182" i="10"/>
  <c r="E181" i="10"/>
  <c r="F182" i="10"/>
  <c r="F181" i="10"/>
  <c r="G182" i="10"/>
  <c r="G181" i="10"/>
  <c r="H181" i="10"/>
  <c r="H182" i="10"/>
  <c r="H184" i="10"/>
  <c r="H185" i="10"/>
  <c r="H186" i="10"/>
  <c r="H187" i="10"/>
  <c r="H188" i="10"/>
  <c r="H189" i="10"/>
  <c r="B190" i="10"/>
  <c r="C190" i="10"/>
  <c r="D190" i="10"/>
  <c r="E190" i="10"/>
  <c r="F190" i="10"/>
  <c r="G190" i="10"/>
  <c r="H190" i="10"/>
  <c r="H192" i="10"/>
  <c r="H40" i="10"/>
  <c r="B334" i="10"/>
  <c r="A334" i="10"/>
  <c r="A336" i="10"/>
  <c r="A337" i="10"/>
  <c r="B339" i="10"/>
  <c r="C339" i="10"/>
  <c r="D339" i="10"/>
  <c r="E339" i="10"/>
  <c r="F339" i="10"/>
  <c r="G339" i="10"/>
  <c r="B340" i="10"/>
  <c r="C340" i="10"/>
  <c r="D340" i="10"/>
  <c r="E340" i="10"/>
  <c r="F340" i="10"/>
  <c r="G340" i="10"/>
  <c r="B341" i="10"/>
  <c r="C341" i="10"/>
  <c r="D341" i="10"/>
  <c r="E341" i="10"/>
  <c r="F341" i="10"/>
  <c r="G341" i="10"/>
  <c r="B342" i="10"/>
  <c r="C342" i="10"/>
  <c r="D342" i="10"/>
  <c r="E342" i="10"/>
  <c r="F342" i="10"/>
  <c r="G342" i="10"/>
  <c r="B343" i="10"/>
  <c r="C343" i="10"/>
  <c r="D343" i="10"/>
  <c r="E343" i="10"/>
  <c r="F343" i="10"/>
  <c r="G343" i="10"/>
  <c r="B392" i="10"/>
  <c r="B10" i="10"/>
  <c r="B11" i="10"/>
  <c r="B18" i="10"/>
  <c r="B396" i="10"/>
  <c r="B19" i="10"/>
  <c r="B399" i="10"/>
  <c r="B400" i="10"/>
  <c r="B20" i="10"/>
  <c r="B21" i="10"/>
  <c r="C392" i="10"/>
  <c r="C10" i="10"/>
  <c r="C11" i="10"/>
  <c r="C18" i="10"/>
  <c r="C396" i="10"/>
  <c r="C19" i="10"/>
  <c r="C399" i="10"/>
  <c r="C400" i="10"/>
  <c r="C20" i="10"/>
  <c r="C21" i="10"/>
  <c r="B344" i="10"/>
  <c r="D392" i="10"/>
  <c r="D10" i="10"/>
  <c r="D11" i="10"/>
  <c r="D18" i="10"/>
  <c r="D396" i="10"/>
  <c r="D19" i="10"/>
  <c r="D399" i="10"/>
  <c r="D400" i="10"/>
  <c r="D20" i="10"/>
  <c r="D21" i="10"/>
  <c r="C344" i="10"/>
  <c r="E392" i="10"/>
  <c r="E10" i="10"/>
  <c r="E11" i="10"/>
  <c r="E18" i="10"/>
  <c r="E396" i="10"/>
  <c r="E19" i="10"/>
  <c r="E399" i="10"/>
  <c r="E400" i="10"/>
  <c r="E20" i="10"/>
  <c r="E21" i="10"/>
  <c r="D344" i="10"/>
  <c r="F392" i="10"/>
  <c r="F10" i="10"/>
  <c r="F11" i="10"/>
  <c r="F18" i="10"/>
  <c r="F396" i="10"/>
  <c r="F19" i="10"/>
  <c r="F399" i="10"/>
  <c r="F400" i="10"/>
  <c r="F20" i="10"/>
  <c r="F21" i="10"/>
  <c r="E344" i="10"/>
  <c r="G392" i="10"/>
  <c r="G10" i="10"/>
  <c r="G11" i="10"/>
  <c r="G18" i="10"/>
  <c r="G396" i="10"/>
  <c r="G19" i="10"/>
  <c r="G399" i="10"/>
  <c r="G400" i="10"/>
  <c r="G20" i="10"/>
  <c r="G21" i="10"/>
  <c r="F344" i="10"/>
  <c r="B345" i="10"/>
  <c r="C345" i="10"/>
  <c r="D345" i="10"/>
  <c r="E345" i="10"/>
  <c r="F345" i="10"/>
  <c r="B308" i="10"/>
  <c r="C308" i="10"/>
  <c r="B427" i="10"/>
  <c r="B34" i="10"/>
  <c r="B307" i="10"/>
  <c r="C427" i="10"/>
  <c r="C34" i="10"/>
  <c r="C307" i="10"/>
  <c r="B346" i="10"/>
  <c r="D308" i="10"/>
  <c r="D427" i="10"/>
  <c r="D34" i="10"/>
  <c r="D307" i="10"/>
  <c r="C346" i="10"/>
  <c r="E308" i="10"/>
  <c r="E427" i="10"/>
  <c r="E34" i="10"/>
  <c r="E307" i="10"/>
  <c r="D346" i="10"/>
  <c r="F308" i="10"/>
  <c r="F427" i="10"/>
  <c r="F34" i="10"/>
  <c r="F307" i="10"/>
  <c r="E346" i="10"/>
  <c r="G308" i="10"/>
  <c r="G427" i="10"/>
  <c r="G34" i="10"/>
  <c r="G307" i="10"/>
  <c r="F346" i="10"/>
  <c r="B347" i="10"/>
  <c r="C347" i="10"/>
  <c r="D347" i="10"/>
  <c r="E347" i="10"/>
  <c r="F347" i="10"/>
  <c r="B349" i="10"/>
  <c r="C349" i="10"/>
  <c r="D349" i="10"/>
  <c r="E349" i="10"/>
  <c r="F349" i="10"/>
  <c r="G349" i="10"/>
  <c r="B350" i="10"/>
  <c r="C350" i="10"/>
  <c r="D350" i="10"/>
  <c r="E350" i="10"/>
  <c r="F350" i="10"/>
  <c r="G350" i="10"/>
  <c r="B351" i="10"/>
  <c r="C351" i="10"/>
  <c r="D351" i="10"/>
  <c r="E351" i="10"/>
  <c r="F351" i="10"/>
  <c r="G351" i="10"/>
  <c r="B352" i="10"/>
  <c r="C352" i="10"/>
  <c r="D352" i="10"/>
  <c r="E352" i="10"/>
  <c r="F352" i="10"/>
  <c r="G352" i="10"/>
  <c r="B353" i="10"/>
  <c r="C353" i="10"/>
  <c r="D353" i="10"/>
  <c r="E353" i="10"/>
  <c r="F353" i="10"/>
  <c r="G353" i="10"/>
  <c r="B354" i="10"/>
  <c r="C354" i="10"/>
  <c r="D354" i="10"/>
  <c r="E354" i="10"/>
  <c r="F354" i="10"/>
  <c r="G354" i="10"/>
  <c r="B355" i="10"/>
  <c r="C355" i="10"/>
  <c r="D355" i="10"/>
  <c r="E355" i="10"/>
  <c r="F355" i="10"/>
  <c r="G355" i="10"/>
  <c r="B404" i="10"/>
  <c r="B23" i="10"/>
  <c r="B26" i="10"/>
  <c r="B411" i="10"/>
  <c r="B412" i="10"/>
  <c r="B27" i="10"/>
  <c r="B28" i="10"/>
  <c r="B265" i="10"/>
  <c r="C404" i="10"/>
  <c r="C23" i="10"/>
  <c r="C26" i="10"/>
  <c r="C411" i="10"/>
  <c r="C412" i="10"/>
  <c r="C27" i="10"/>
  <c r="C28" i="10"/>
  <c r="C265" i="10"/>
  <c r="B357" i="10"/>
  <c r="D404" i="10"/>
  <c r="D23" i="10"/>
  <c r="D26" i="10"/>
  <c r="D411" i="10"/>
  <c r="D412" i="10"/>
  <c r="D27" i="10"/>
  <c r="D28" i="10"/>
  <c r="D265" i="10"/>
  <c r="C357" i="10"/>
  <c r="E404" i="10"/>
  <c r="E23" i="10"/>
  <c r="E26" i="10"/>
  <c r="E411" i="10"/>
  <c r="E412" i="10"/>
  <c r="E27" i="10"/>
  <c r="E28" i="10"/>
  <c r="E265" i="10"/>
  <c r="D357" i="10"/>
  <c r="F404" i="10"/>
  <c r="F23" i="10"/>
  <c r="F26" i="10"/>
  <c r="F411" i="10"/>
  <c r="F412" i="10"/>
  <c r="F27" i="10"/>
  <c r="F28" i="10"/>
  <c r="F265" i="10"/>
  <c r="E357" i="10"/>
  <c r="G404" i="10"/>
  <c r="G23" i="10"/>
  <c r="G26" i="10"/>
  <c r="G411" i="10"/>
  <c r="G412" i="10"/>
  <c r="G27" i="10"/>
  <c r="G28" i="10"/>
  <c r="G265" i="10"/>
  <c r="F357" i="10"/>
  <c r="B358" i="10"/>
  <c r="C358" i="10"/>
  <c r="D358" i="10"/>
  <c r="E358" i="10"/>
  <c r="F358" i="10"/>
  <c r="B360" i="10"/>
  <c r="C360" i="10"/>
  <c r="D360" i="10"/>
  <c r="E360" i="10"/>
  <c r="F360" i="10"/>
  <c r="G360" i="10"/>
  <c r="B89" i="10"/>
  <c r="B85" i="10"/>
  <c r="B86" i="10"/>
  <c r="B87" i="10"/>
  <c r="B88" i="10"/>
  <c r="B90" i="10"/>
  <c r="B361" i="10"/>
  <c r="C89" i="10"/>
  <c r="C85" i="10"/>
  <c r="C86" i="10"/>
  <c r="C87" i="10"/>
  <c r="C88" i="10"/>
  <c r="C90" i="10"/>
  <c r="C361" i="10"/>
  <c r="D89" i="10"/>
  <c r="D85" i="10"/>
  <c r="D86" i="10"/>
  <c r="D87" i="10"/>
  <c r="D88" i="10"/>
  <c r="D90" i="10"/>
  <c r="D361" i="10"/>
  <c r="E89" i="10"/>
  <c r="E85" i="10"/>
  <c r="E86" i="10"/>
  <c r="E87" i="10"/>
  <c r="E88" i="10"/>
  <c r="E90" i="10"/>
  <c r="E361" i="10"/>
  <c r="F89" i="10"/>
  <c r="F85" i="10"/>
  <c r="F86" i="10"/>
  <c r="F87" i="10"/>
  <c r="F88" i="10"/>
  <c r="F90" i="10"/>
  <c r="F361" i="10"/>
  <c r="G89" i="10"/>
  <c r="G85" i="10"/>
  <c r="G86" i="10"/>
  <c r="G87" i="10"/>
  <c r="G88" i="10"/>
  <c r="G90" i="10"/>
  <c r="G361" i="10"/>
  <c r="B82" i="10"/>
  <c r="C82" i="10"/>
  <c r="D82" i="10"/>
  <c r="E82" i="10"/>
  <c r="F82" i="10"/>
  <c r="G82" i="10"/>
  <c r="H82" i="10"/>
  <c r="B226" i="10"/>
  <c r="C226" i="10"/>
  <c r="D226" i="10"/>
  <c r="E226" i="10"/>
  <c r="F226" i="10"/>
  <c r="G226" i="10"/>
  <c r="A363" i="10"/>
  <c r="A365" i="10"/>
  <c r="A366" i="10"/>
  <c r="B54" i="10"/>
  <c r="B375" i="10"/>
  <c r="B373" i="10"/>
  <c r="B372" i="10"/>
  <c r="C54" i="10"/>
  <c r="C375" i="10"/>
  <c r="C373" i="10"/>
  <c r="C372" i="10"/>
  <c r="D54" i="10"/>
  <c r="D375" i="10"/>
  <c r="D373" i="10"/>
  <c r="D372" i="10"/>
  <c r="E54" i="10"/>
  <c r="E375" i="10"/>
  <c r="E373" i="10"/>
  <c r="E372" i="10"/>
  <c r="F54" i="10"/>
  <c r="F375" i="10"/>
  <c r="F373" i="10"/>
  <c r="F372" i="10"/>
  <c r="G54" i="10"/>
  <c r="G375" i="10"/>
  <c r="G373" i="10"/>
  <c r="G372" i="10"/>
  <c r="A384" i="10"/>
  <c r="B384" i="10"/>
  <c r="A386" i="10"/>
  <c r="A387" i="10"/>
  <c r="A100" i="10"/>
  <c r="A99" i="10"/>
  <c r="A97" i="10"/>
  <c r="G418" i="10"/>
  <c r="G419" i="10"/>
  <c r="F418" i="10"/>
  <c r="F419" i="10"/>
  <c r="E418" i="10"/>
  <c r="E419" i="10"/>
  <c r="D418" i="10"/>
  <c r="D419" i="10"/>
  <c r="C418" i="10"/>
  <c r="C419" i="10"/>
  <c r="B418" i="10"/>
  <c r="B419" i="10"/>
  <c r="G332" i="10"/>
  <c r="F332" i="10"/>
  <c r="E332" i="10"/>
  <c r="D332" i="10"/>
  <c r="C332" i="10"/>
  <c r="B332" i="10"/>
  <c r="G303" i="10"/>
  <c r="G330" i="10"/>
  <c r="F303" i="10"/>
  <c r="F330" i="10"/>
  <c r="E303" i="10"/>
  <c r="E330" i="10"/>
  <c r="D303" i="10"/>
  <c r="D330" i="10"/>
  <c r="C303" i="10"/>
  <c r="C330" i="10"/>
  <c r="B303" i="10"/>
  <c r="B330" i="10"/>
  <c r="G329" i="10"/>
  <c r="F329" i="10"/>
  <c r="E329" i="10"/>
  <c r="D329" i="10"/>
  <c r="C329" i="10"/>
  <c r="B329" i="10"/>
  <c r="G328" i="10"/>
  <c r="F328" i="10"/>
  <c r="E328" i="10"/>
  <c r="D328" i="10"/>
  <c r="C328" i="10"/>
  <c r="B328" i="10"/>
  <c r="F326" i="10"/>
  <c r="E326" i="10"/>
  <c r="D326" i="10"/>
  <c r="C326" i="10"/>
  <c r="B326" i="10"/>
  <c r="G318" i="10"/>
  <c r="G39" i="10"/>
  <c r="G41" i="10"/>
  <c r="G319" i="10"/>
  <c r="G320" i="10"/>
  <c r="G324" i="10"/>
  <c r="F318" i="10"/>
  <c r="F39" i="10"/>
  <c r="F41" i="10"/>
  <c r="F319" i="10"/>
  <c r="F320" i="10"/>
  <c r="F324" i="10"/>
  <c r="E318" i="10"/>
  <c r="E39" i="10"/>
  <c r="E41" i="10"/>
  <c r="E319" i="10"/>
  <c r="E320" i="10"/>
  <c r="E324" i="10"/>
  <c r="D318" i="10"/>
  <c r="D39" i="10"/>
  <c r="D41" i="10"/>
  <c r="D319" i="10"/>
  <c r="D320" i="10"/>
  <c r="D324" i="10"/>
  <c r="C318" i="10"/>
  <c r="C39" i="10"/>
  <c r="C41" i="10"/>
  <c r="C319" i="10"/>
  <c r="C320" i="10"/>
  <c r="C324" i="10"/>
  <c r="B318" i="10"/>
  <c r="B39" i="10"/>
  <c r="B41" i="10"/>
  <c r="B319" i="10"/>
  <c r="B320" i="10"/>
  <c r="B324" i="10"/>
  <c r="G323" i="10"/>
  <c r="F323" i="10"/>
  <c r="E323" i="10"/>
  <c r="D323" i="10"/>
  <c r="C323" i="10"/>
  <c r="B323" i="10"/>
  <c r="G322" i="10"/>
  <c r="F322" i="10"/>
  <c r="E322" i="10"/>
  <c r="D322" i="10"/>
  <c r="C322" i="10"/>
  <c r="B322" i="10"/>
  <c r="G316" i="10"/>
  <c r="F316" i="10"/>
  <c r="E316" i="10"/>
  <c r="D316" i="10"/>
  <c r="C316" i="10"/>
  <c r="B316" i="10"/>
  <c r="G315" i="10"/>
  <c r="F315" i="10"/>
  <c r="E315" i="10"/>
  <c r="D315" i="10"/>
  <c r="C315" i="10"/>
  <c r="B315" i="10"/>
  <c r="G306" i="10"/>
  <c r="G314" i="10"/>
  <c r="F306" i="10"/>
  <c r="F314" i="10"/>
  <c r="E306" i="10"/>
  <c r="E314" i="10"/>
  <c r="D306" i="10"/>
  <c r="D314" i="10"/>
  <c r="C306" i="10"/>
  <c r="C314" i="10"/>
  <c r="B306" i="10"/>
  <c r="B314" i="10"/>
  <c r="G313" i="10"/>
  <c r="F313" i="10"/>
  <c r="E313" i="10"/>
  <c r="D313" i="10"/>
  <c r="C313" i="10"/>
  <c r="B313" i="10"/>
  <c r="G304" i="10"/>
  <c r="G312" i="10"/>
  <c r="F304" i="10"/>
  <c r="F312" i="10"/>
  <c r="E304" i="10"/>
  <c r="E312" i="10"/>
  <c r="D304" i="10"/>
  <c r="D312" i="10"/>
  <c r="C304" i="10"/>
  <c r="C312" i="10"/>
  <c r="B304" i="10"/>
  <c r="B312" i="10"/>
  <c r="G311" i="10"/>
  <c r="F311" i="10"/>
  <c r="E311" i="10"/>
  <c r="D311" i="10"/>
  <c r="C311" i="10"/>
  <c r="B311" i="10"/>
  <c r="G302" i="10"/>
  <c r="G310" i="10"/>
  <c r="F302" i="10"/>
  <c r="F310" i="10"/>
  <c r="E302" i="10"/>
  <c r="E310" i="10"/>
  <c r="D302" i="10"/>
  <c r="D310" i="10"/>
  <c r="C302" i="10"/>
  <c r="C310" i="10"/>
  <c r="B302" i="10"/>
  <c r="B310" i="10"/>
  <c r="A300" i="10"/>
  <c r="A299" i="10"/>
  <c r="B297" i="10"/>
  <c r="A297" i="10"/>
  <c r="G291" i="10"/>
  <c r="G295" i="10"/>
  <c r="F291" i="10"/>
  <c r="F295" i="10"/>
  <c r="E291" i="10"/>
  <c r="E295" i="10"/>
  <c r="D291" i="10"/>
  <c r="D295" i="10"/>
  <c r="C291" i="10"/>
  <c r="C295" i="10"/>
  <c r="B291" i="10"/>
  <c r="B295" i="10"/>
  <c r="G290" i="10"/>
  <c r="G294" i="10"/>
  <c r="F290" i="10"/>
  <c r="F294" i="10"/>
  <c r="E290" i="10"/>
  <c r="E294" i="10"/>
  <c r="D290" i="10"/>
  <c r="D294" i="10"/>
  <c r="C290" i="10"/>
  <c r="C294" i="10"/>
  <c r="B290" i="10"/>
  <c r="B294" i="10"/>
  <c r="G293" i="10"/>
  <c r="F293" i="10"/>
  <c r="E293" i="10"/>
  <c r="D293" i="10"/>
  <c r="C293" i="10"/>
  <c r="B293" i="10"/>
  <c r="G292" i="10"/>
  <c r="F292" i="10"/>
  <c r="E292" i="10"/>
  <c r="D292" i="10"/>
  <c r="C292" i="10"/>
  <c r="B292" i="10"/>
  <c r="G288" i="10"/>
  <c r="F288" i="10"/>
  <c r="E288" i="10"/>
  <c r="D288" i="10"/>
  <c r="C288" i="10"/>
  <c r="B288" i="10"/>
  <c r="G287" i="10"/>
  <c r="F287" i="10"/>
  <c r="E287" i="10"/>
  <c r="D287" i="10"/>
  <c r="C287" i="10"/>
  <c r="B287" i="10"/>
  <c r="G286" i="10"/>
  <c r="F286" i="10"/>
  <c r="E286" i="10"/>
  <c r="D286" i="10"/>
  <c r="C286" i="10"/>
  <c r="B286" i="10"/>
  <c r="G274" i="10"/>
  <c r="G279" i="10"/>
  <c r="G275" i="10"/>
  <c r="G280" i="10"/>
  <c r="G281" i="10"/>
  <c r="G276" i="10"/>
  <c r="G282" i="10"/>
  <c r="G283" i="10"/>
  <c r="F274" i="10"/>
  <c r="F279" i="10"/>
  <c r="F275" i="10"/>
  <c r="F280" i="10"/>
  <c r="F281" i="10"/>
  <c r="F276" i="10"/>
  <c r="F282" i="10"/>
  <c r="F283" i="10"/>
  <c r="E274" i="10"/>
  <c r="E279" i="10"/>
  <c r="E275" i="10"/>
  <c r="E280" i="10"/>
  <c r="E281" i="10"/>
  <c r="E276" i="10"/>
  <c r="E282" i="10"/>
  <c r="E283" i="10"/>
  <c r="D274" i="10"/>
  <c r="D279" i="10"/>
  <c r="D275" i="10"/>
  <c r="D280" i="10"/>
  <c r="D281" i="10"/>
  <c r="D276" i="10"/>
  <c r="D282" i="10"/>
  <c r="D283" i="10"/>
  <c r="C274" i="10"/>
  <c r="C279" i="10"/>
  <c r="C275" i="10"/>
  <c r="C280" i="10"/>
  <c r="C281" i="10"/>
  <c r="C276" i="10"/>
  <c r="C282" i="10"/>
  <c r="C283" i="10"/>
  <c r="B274" i="10"/>
  <c r="B279" i="10"/>
  <c r="B275" i="10"/>
  <c r="B280" i="10"/>
  <c r="B281" i="10"/>
  <c r="B276" i="10"/>
  <c r="B282" i="10"/>
  <c r="B283" i="10"/>
  <c r="G271" i="10"/>
  <c r="F271" i="10"/>
  <c r="E271" i="10"/>
  <c r="D271" i="10"/>
  <c r="C271" i="10"/>
  <c r="B271" i="10"/>
  <c r="G270" i="10"/>
  <c r="F270" i="10"/>
  <c r="E270" i="10"/>
  <c r="D270" i="10"/>
  <c r="C270" i="10"/>
  <c r="B270" i="10"/>
  <c r="G269" i="10"/>
  <c r="F269" i="10"/>
  <c r="E269" i="10"/>
  <c r="D269" i="10"/>
  <c r="C269" i="10"/>
  <c r="B269" i="10"/>
  <c r="G266" i="10"/>
  <c r="G267" i="10"/>
  <c r="F266" i="10"/>
  <c r="F267" i="10"/>
  <c r="E266" i="10"/>
  <c r="E267" i="10"/>
  <c r="D266" i="10"/>
  <c r="D267" i="10"/>
  <c r="C266" i="10"/>
  <c r="C267" i="10"/>
  <c r="B266" i="10"/>
  <c r="B267" i="10"/>
  <c r="A264" i="10"/>
  <c r="A263" i="10"/>
  <c r="B261" i="10"/>
  <c r="A261" i="10"/>
  <c r="G16" i="10"/>
  <c r="G241" i="10"/>
  <c r="G14" i="10"/>
  <c r="G240" i="10"/>
  <c r="G243" i="10"/>
  <c r="F16" i="10"/>
  <c r="F241" i="10"/>
  <c r="F14" i="10"/>
  <c r="F240" i="10"/>
  <c r="F243" i="10"/>
  <c r="E16" i="10"/>
  <c r="E241" i="10"/>
  <c r="E14" i="10"/>
  <c r="E240" i="10"/>
  <c r="E243" i="10"/>
  <c r="D16" i="10"/>
  <c r="D241" i="10"/>
  <c r="D14" i="10"/>
  <c r="D240" i="10"/>
  <c r="D243" i="10"/>
  <c r="C16" i="10"/>
  <c r="C241" i="10"/>
  <c r="C14" i="10"/>
  <c r="C240" i="10"/>
  <c r="C243" i="10"/>
  <c r="B16" i="10"/>
  <c r="B241" i="10"/>
  <c r="B14" i="10"/>
  <c r="B240" i="10"/>
  <c r="B243" i="10"/>
  <c r="G242" i="10"/>
  <c r="F242" i="10"/>
  <c r="E242" i="10"/>
  <c r="D242" i="10"/>
  <c r="C242" i="10"/>
  <c r="B242" i="10"/>
  <c r="G221" i="10"/>
  <c r="G239" i="10"/>
  <c r="F221" i="10"/>
  <c r="F239" i="10"/>
  <c r="E221" i="10"/>
  <c r="E239" i="10"/>
  <c r="D221" i="10"/>
  <c r="D239" i="10"/>
  <c r="C221" i="10"/>
  <c r="C239" i="10"/>
  <c r="B221" i="10"/>
  <c r="B239" i="10"/>
  <c r="G220" i="10"/>
  <c r="G222" i="10"/>
  <c r="G235" i="10"/>
  <c r="G199" i="10"/>
  <c r="G227" i="10"/>
  <c r="G237" i="10"/>
  <c r="F220" i="10"/>
  <c r="F222" i="10"/>
  <c r="F235" i="10"/>
  <c r="F199" i="10"/>
  <c r="F227" i="10"/>
  <c r="F237" i="10"/>
  <c r="E220" i="10"/>
  <c r="E222" i="10"/>
  <c r="E235" i="10"/>
  <c r="E199" i="10"/>
  <c r="E227" i="10"/>
  <c r="E237" i="10"/>
  <c r="D220" i="10"/>
  <c r="D222" i="10"/>
  <c r="D235" i="10"/>
  <c r="D199" i="10"/>
  <c r="D227" i="10"/>
  <c r="D237" i="10"/>
  <c r="C220" i="10"/>
  <c r="C222" i="10"/>
  <c r="C235" i="10"/>
  <c r="C199" i="10"/>
  <c r="C227" i="10"/>
  <c r="C237" i="10"/>
  <c r="B220" i="10"/>
  <c r="B222" i="10"/>
  <c r="B235" i="10"/>
  <c r="B199" i="10"/>
  <c r="B227" i="10"/>
  <c r="B237" i="10"/>
  <c r="G236" i="10"/>
  <c r="F236" i="10"/>
  <c r="E236" i="10"/>
  <c r="D236" i="10"/>
  <c r="C236" i="10"/>
  <c r="B236" i="10"/>
  <c r="G234" i="10"/>
  <c r="F234" i="10"/>
  <c r="E234" i="10"/>
  <c r="D234" i="10"/>
  <c r="C234" i="10"/>
  <c r="B234" i="10"/>
  <c r="B202" i="10"/>
  <c r="B204" i="10"/>
  <c r="C202" i="10"/>
  <c r="C204" i="10"/>
  <c r="D202" i="10"/>
  <c r="D204" i="10"/>
  <c r="E202" i="10"/>
  <c r="E204" i="10"/>
  <c r="F202" i="10"/>
  <c r="F204" i="10"/>
  <c r="G202" i="10"/>
  <c r="G204" i="10"/>
  <c r="B230" i="10" a="1"/>
  <c r="B230" i="10"/>
  <c r="H230" i="10"/>
  <c r="B225" i="10"/>
  <c r="B228" i="10"/>
  <c r="B229" i="10"/>
  <c r="C225" i="10"/>
  <c r="C228" i="10"/>
  <c r="C229" i="10"/>
  <c r="D225" i="10"/>
  <c r="D228" i="10"/>
  <c r="D229" i="10"/>
  <c r="E225" i="10"/>
  <c r="E228" i="10"/>
  <c r="E229" i="10"/>
  <c r="F225" i="10"/>
  <c r="F228" i="10"/>
  <c r="F229" i="10"/>
  <c r="G225" i="10"/>
  <c r="G228" i="10"/>
  <c r="G229" i="10"/>
  <c r="H229" i="10"/>
  <c r="H228" i="10"/>
  <c r="H227" i="10"/>
  <c r="H226" i="10"/>
  <c r="H225" i="10"/>
  <c r="H224" i="10"/>
  <c r="H223" i="10"/>
  <c r="H222" i="10"/>
  <c r="H221" i="10"/>
  <c r="H220" i="10"/>
  <c r="B218" i="10"/>
  <c r="B219" i="10"/>
  <c r="C218" i="10"/>
  <c r="C219" i="10"/>
  <c r="D218" i="10"/>
  <c r="D219" i="10"/>
  <c r="E218" i="10"/>
  <c r="E219" i="10"/>
  <c r="F218" i="10"/>
  <c r="F219" i="10"/>
  <c r="G218" i="10"/>
  <c r="G219" i="10"/>
  <c r="H219" i="10"/>
  <c r="H218" i="10"/>
  <c r="B216" i="10"/>
  <c r="C216" i="10"/>
  <c r="D216" i="10"/>
  <c r="E216" i="10"/>
  <c r="F216" i="10"/>
  <c r="G216" i="10"/>
  <c r="H216" i="10"/>
  <c r="H217" i="10"/>
  <c r="G217" i="10"/>
  <c r="F217" i="10"/>
  <c r="E217" i="10"/>
  <c r="D217" i="10"/>
  <c r="C217" i="10"/>
  <c r="B217" i="10"/>
  <c r="A215" i="10"/>
  <c r="A214" i="10"/>
  <c r="B212" i="10"/>
  <c r="A212" i="10"/>
  <c r="G206" i="10"/>
  <c r="G207" i="10"/>
  <c r="F206" i="10"/>
  <c r="F207" i="10"/>
  <c r="E205" i="10"/>
  <c r="E206" i="10"/>
  <c r="E207" i="10"/>
  <c r="D206" i="10"/>
  <c r="D207" i="10"/>
  <c r="C205" i="10"/>
  <c r="C206" i="10"/>
  <c r="C207" i="10"/>
  <c r="B205" i="10"/>
  <c r="B206" i="10"/>
  <c r="B207" i="10"/>
  <c r="H205" i="10"/>
  <c r="H204" i="10"/>
  <c r="H206" i="10"/>
  <c r="H203" i="10"/>
  <c r="H202" i="10"/>
  <c r="H201" i="10"/>
  <c r="H200" i="10"/>
  <c r="H199" i="10"/>
  <c r="H198" i="10"/>
  <c r="H197" i="10"/>
  <c r="H196" i="10"/>
  <c r="H195" i="10"/>
  <c r="H194" i="10"/>
  <c r="H193" i="10"/>
  <c r="G92" i="10"/>
  <c r="G93" i="10"/>
  <c r="G94" i="10"/>
  <c r="G95" i="10"/>
  <c r="F92" i="10"/>
  <c r="F93" i="10"/>
  <c r="F94" i="10"/>
  <c r="F95" i="10"/>
  <c r="E92" i="10"/>
  <c r="E93" i="10"/>
  <c r="E94" i="10"/>
  <c r="E95" i="10"/>
  <c r="D92" i="10"/>
  <c r="D93" i="10"/>
  <c r="D94" i="10"/>
  <c r="D95" i="10"/>
  <c r="C92" i="10"/>
  <c r="C93" i="10"/>
  <c r="C94" i="10"/>
  <c r="C95" i="10"/>
  <c r="B92" i="10"/>
  <c r="B93" i="10"/>
  <c r="B94" i="10"/>
  <c r="B95" i="10"/>
  <c r="H73" i="10"/>
  <c r="H72" i="10"/>
  <c r="G77" i="10"/>
  <c r="F77" i="10"/>
  <c r="E77" i="10"/>
  <c r="D77" i="10"/>
  <c r="C77" i="10"/>
  <c r="B77" i="10"/>
  <c r="H76" i="10"/>
  <c r="H60" i="10"/>
  <c r="H75" i="10"/>
  <c r="H74" i="10"/>
  <c r="H70" i="10"/>
  <c r="H69" i="10"/>
  <c r="H68" i="10"/>
  <c r="H67" i="10"/>
  <c r="H66" i="10"/>
  <c r="H65" i="10"/>
  <c r="H64" i="10"/>
  <c r="H63" i="10"/>
  <c r="H62" i="10"/>
  <c r="H61" i="10"/>
  <c r="A59" i="10"/>
  <c r="A58" i="10"/>
  <c r="B56" i="10"/>
  <c r="A56" i="10"/>
  <c r="B53" i="10"/>
  <c r="B52" i="10"/>
  <c r="C53" i="10"/>
  <c r="C52" i="10"/>
  <c r="D53" i="10"/>
  <c r="D52" i="10"/>
  <c r="E53" i="10"/>
  <c r="E52" i="10"/>
  <c r="F53" i="10"/>
  <c r="F52" i="10"/>
  <c r="G52" i="10"/>
  <c r="H52" i="10"/>
  <c r="H53" i="10"/>
  <c r="H54" i="10"/>
  <c r="B47" i="10"/>
  <c r="B49" i="10"/>
  <c r="B51" i="10"/>
  <c r="C47" i="10"/>
  <c r="C49" i="10"/>
  <c r="C51" i="10"/>
  <c r="D47" i="10"/>
  <c r="D49" i="10"/>
  <c r="D51" i="10"/>
  <c r="E47" i="10"/>
  <c r="E49" i="10"/>
  <c r="E51" i="10"/>
  <c r="F47" i="10"/>
  <c r="F49" i="10"/>
  <c r="F51" i="10"/>
  <c r="G47" i="10"/>
  <c r="G49" i="10"/>
  <c r="G51" i="10"/>
  <c r="H51" i="10"/>
  <c r="H50" i="10"/>
  <c r="H49" i="10"/>
  <c r="H48" i="10"/>
  <c r="H47" i="10"/>
  <c r="A46" i="10"/>
  <c r="A45" i="10"/>
  <c r="A43" i="10"/>
  <c r="G30" i="10"/>
  <c r="G31" i="10"/>
  <c r="G32" i="10"/>
  <c r="G35" i="10"/>
  <c r="G36" i="10"/>
  <c r="F30" i="10"/>
  <c r="F31" i="10"/>
  <c r="F32" i="10"/>
  <c r="F35" i="10"/>
  <c r="F36" i="10"/>
  <c r="E30" i="10"/>
  <c r="E31" i="10"/>
  <c r="E32" i="10"/>
  <c r="E35" i="10"/>
  <c r="E36" i="10"/>
  <c r="D30" i="10"/>
  <c r="D31" i="10"/>
  <c r="D32" i="10"/>
  <c r="D35" i="10"/>
  <c r="D36" i="10"/>
  <c r="C30" i="10"/>
  <c r="C31" i="10"/>
  <c r="C32" i="10"/>
  <c r="C35" i="10"/>
  <c r="C36" i="10"/>
  <c r="B30" i="10"/>
  <c r="B31" i="10"/>
  <c r="B32" i="10"/>
  <c r="B35" i="10"/>
  <c r="B36" i="10"/>
  <c r="F15" i="10"/>
  <c r="G15" i="10"/>
  <c r="E15" i="10"/>
  <c r="D15" i="10"/>
  <c r="C15" i="10"/>
  <c r="B15" i="10"/>
  <c r="F13" i="10"/>
  <c r="G13" i="10"/>
  <c r="E13" i="10"/>
  <c r="D13" i="10"/>
  <c r="C13" i="10"/>
  <c r="B13" i="10"/>
  <c r="F12" i="10"/>
  <c r="G12" i="10"/>
  <c r="E12" i="10"/>
  <c r="D12" i="10"/>
  <c r="C12" i="10"/>
  <c r="B12" i="10"/>
  <c r="G348" i="8"/>
  <c r="G34" i="8"/>
  <c r="G54" i="8"/>
  <c r="G296" i="8"/>
  <c r="F348" i="8"/>
  <c r="F34" i="8"/>
  <c r="F54" i="8"/>
  <c r="F296" i="8"/>
  <c r="E348" i="8"/>
  <c r="E34" i="8"/>
  <c r="E54" i="8"/>
  <c r="E296" i="8"/>
  <c r="D348" i="8"/>
  <c r="D34" i="8"/>
  <c r="D54" i="8"/>
  <c r="D296" i="8"/>
  <c r="C348" i="8"/>
  <c r="C34" i="8"/>
  <c r="C54" i="8"/>
  <c r="C296" i="8"/>
  <c r="B348" i="8"/>
  <c r="B34" i="8"/>
  <c r="B54" i="8"/>
  <c r="B296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C282" i="8"/>
  <c r="D282" i="8"/>
  <c r="E282" i="8"/>
  <c r="F282" i="8"/>
  <c r="G282" i="8"/>
  <c r="B282" i="8"/>
  <c r="C351" i="8"/>
  <c r="C352" i="8"/>
  <c r="C353" i="8"/>
  <c r="C63" i="8"/>
  <c r="C64" i="8"/>
  <c r="C65" i="8"/>
  <c r="C68" i="8"/>
  <c r="C62" i="8"/>
  <c r="C69" i="8"/>
  <c r="C72" i="8"/>
  <c r="C74" i="8"/>
  <c r="C76" i="8"/>
  <c r="C85" i="8"/>
  <c r="C86" i="8"/>
  <c r="C87" i="8"/>
  <c r="C88" i="8"/>
  <c r="C89" i="8"/>
  <c r="C90" i="8"/>
  <c r="C325" i="8"/>
  <c r="C23" i="8"/>
  <c r="C253" i="8"/>
  <c r="C280" i="8"/>
  <c r="D351" i="8"/>
  <c r="D352" i="8"/>
  <c r="D353" i="8"/>
  <c r="D63" i="8"/>
  <c r="D64" i="8"/>
  <c r="D65" i="8"/>
  <c r="D68" i="8"/>
  <c r="D62" i="8"/>
  <c r="D69" i="8"/>
  <c r="D72" i="8"/>
  <c r="D74" i="8"/>
  <c r="D76" i="8"/>
  <c r="D85" i="8"/>
  <c r="D86" i="8"/>
  <c r="D87" i="8"/>
  <c r="D88" i="8"/>
  <c r="D89" i="8"/>
  <c r="D90" i="8"/>
  <c r="D325" i="8"/>
  <c r="D23" i="8"/>
  <c r="D253" i="8"/>
  <c r="D280" i="8"/>
  <c r="E351" i="8"/>
  <c r="E352" i="8"/>
  <c r="E353" i="8"/>
  <c r="E63" i="8"/>
  <c r="E64" i="8"/>
  <c r="E65" i="8"/>
  <c r="E68" i="8"/>
  <c r="E62" i="8"/>
  <c r="E69" i="8"/>
  <c r="E72" i="8"/>
  <c r="E74" i="8"/>
  <c r="E76" i="8"/>
  <c r="E85" i="8"/>
  <c r="E86" i="8"/>
  <c r="E87" i="8"/>
  <c r="E88" i="8"/>
  <c r="E89" i="8"/>
  <c r="E90" i="8"/>
  <c r="E325" i="8"/>
  <c r="E23" i="8"/>
  <c r="E253" i="8"/>
  <c r="E280" i="8"/>
  <c r="F351" i="8"/>
  <c r="F352" i="8"/>
  <c r="F353" i="8"/>
  <c r="F63" i="8"/>
  <c r="F64" i="8"/>
  <c r="F65" i="8"/>
  <c r="F68" i="8"/>
  <c r="F62" i="8"/>
  <c r="F69" i="8"/>
  <c r="F72" i="8"/>
  <c r="F74" i="8"/>
  <c r="F76" i="8"/>
  <c r="F85" i="8"/>
  <c r="F86" i="8"/>
  <c r="F87" i="8"/>
  <c r="F88" i="8"/>
  <c r="F89" i="8"/>
  <c r="F90" i="8"/>
  <c r="F325" i="8"/>
  <c r="F23" i="8"/>
  <c r="F253" i="8"/>
  <c r="F280" i="8"/>
  <c r="G351" i="8"/>
  <c r="G352" i="8"/>
  <c r="G353" i="8"/>
  <c r="G63" i="8"/>
  <c r="G64" i="8"/>
  <c r="G65" i="8"/>
  <c r="G68" i="8"/>
  <c r="G62" i="8"/>
  <c r="G69" i="8"/>
  <c r="G72" i="8"/>
  <c r="G74" i="8"/>
  <c r="G76" i="8"/>
  <c r="G85" i="8"/>
  <c r="G86" i="8"/>
  <c r="G87" i="8"/>
  <c r="G88" i="8"/>
  <c r="G89" i="8"/>
  <c r="G90" i="8"/>
  <c r="G325" i="8"/>
  <c r="G23" i="8"/>
  <c r="G253" i="8"/>
  <c r="G280" i="8"/>
  <c r="B351" i="8"/>
  <c r="B352" i="8"/>
  <c r="B353" i="8"/>
  <c r="B63" i="8"/>
  <c r="B64" i="8"/>
  <c r="B65" i="8"/>
  <c r="B68" i="8"/>
  <c r="B62" i="8"/>
  <c r="B69" i="8"/>
  <c r="B72" i="8"/>
  <c r="B74" i="8"/>
  <c r="B76" i="8"/>
  <c r="B85" i="8"/>
  <c r="B86" i="8"/>
  <c r="B87" i="8"/>
  <c r="B88" i="8"/>
  <c r="B89" i="8"/>
  <c r="B90" i="8"/>
  <c r="B325" i="8"/>
  <c r="B23" i="8"/>
  <c r="B253" i="8"/>
  <c r="B280" i="8"/>
  <c r="C130" i="8"/>
  <c r="C279" i="8"/>
  <c r="D130" i="8"/>
  <c r="D279" i="8"/>
  <c r="E130" i="8"/>
  <c r="E279" i="8"/>
  <c r="F130" i="8"/>
  <c r="F279" i="8"/>
  <c r="G130" i="8"/>
  <c r="G279" i="8"/>
  <c r="B130" i="8"/>
  <c r="B279" i="8"/>
  <c r="C278" i="8"/>
  <c r="D278" i="8"/>
  <c r="E278" i="8"/>
  <c r="F278" i="8"/>
  <c r="G278" i="8"/>
  <c r="B278" i="8"/>
  <c r="C18" i="8"/>
  <c r="C320" i="8"/>
  <c r="C321" i="8"/>
  <c r="C20" i="8"/>
  <c r="C313" i="8"/>
  <c r="C10" i="8"/>
  <c r="C11" i="8"/>
  <c r="C317" i="8"/>
  <c r="C19" i="8"/>
  <c r="C21" i="8"/>
  <c r="C258" i="8"/>
  <c r="D18" i="8"/>
  <c r="D320" i="8"/>
  <c r="D321" i="8"/>
  <c r="D20" i="8"/>
  <c r="D313" i="8"/>
  <c r="D10" i="8"/>
  <c r="D11" i="8"/>
  <c r="D317" i="8"/>
  <c r="D19" i="8"/>
  <c r="D21" i="8"/>
  <c r="D258" i="8"/>
  <c r="C257" i="8"/>
  <c r="D257" i="8"/>
  <c r="C276" i="8"/>
  <c r="E18" i="8"/>
  <c r="E320" i="8"/>
  <c r="E321" i="8"/>
  <c r="E20" i="8"/>
  <c r="E313" i="8"/>
  <c r="E10" i="8"/>
  <c r="E11" i="8"/>
  <c r="E317" i="8"/>
  <c r="E19" i="8"/>
  <c r="E21" i="8"/>
  <c r="E258" i="8"/>
  <c r="E257" i="8"/>
  <c r="D276" i="8"/>
  <c r="F18" i="8"/>
  <c r="F320" i="8"/>
  <c r="F321" i="8"/>
  <c r="F20" i="8"/>
  <c r="F313" i="8"/>
  <c r="F10" i="8"/>
  <c r="F11" i="8"/>
  <c r="F317" i="8"/>
  <c r="F19" i="8"/>
  <c r="F21" i="8"/>
  <c r="F258" i="8"/>
  <c r="F257" i="8"/>
  <c r="E276" i="8"/>
  <c r="G18" i="8"/>
  <c r="G320" i="8"/>
  <c r="G321" i="8"/>
  <c r="G20" i="8"/>
  <c r="G313" i="8"/>
  <c r="G10" i="8"/>
  <c r="G11" i="8"/>
  <c r="G317" i="8"/>
  <c r="G19" i="8"/>
  <c r="G21" i="8"/>
  <c r="G258" i="8"/>
  <c r="G257" i="8"/>
  <c r="F276" i="8"/>
  <c r="B18" i="8"/>
  <c r="B320" i="8"/>
  <c r="B321" i="8"/>
  <c r="B20" i="8"/>
  <c r="B313" i="8"/>
  <c r="B10" i="8"/>
  <c r="B11" i="8"/>
  <c r="B317" i="8"/>
  <c r="B19" i="8"/>
  <c r="B21" i="8"/>
  <c r="B258" i="8"/>
  <c r="B257" i="8"/>
  <c r="B276" i="8"/>
  <c r="C268" i="8"/>
  <c r="C39" i="8"/>
  <c r="C41" i="8"/>
  <c r="C269" i="8"/>
  <c r="C270" i="8"/>
  <c r="C274" i="8"/>
  <c r="D268" i="8"/>
  <c r="D39" i="8"/>
  <c r="D41" i="8"/>
  <c r="D269" i="8"/>
  <c r="D270" i="8"/>
  <c r="D274" i="8"/>
  <c r="E268" i="8"/>
  <c r="E39" i="8"/>
  <c r="E41" i="8"/>
  <c r="E269" i="8"/>
  <c r="E270" i="8"/>
  <c r="E274" i="8"/>
  <c r="F268" i="8"/>
  <c r="F39" i="8"/>
  <c r="F41" i="8"/>
  <c r="F269" i="8"/>
  <c r="F270" i="8"/>
  <c r="F274" i="8"/>
  <c r="G268" i="8"/>
  <c r="G39" i="8"/>
  <c r="G41" i="8"/>
  <c r="G269" i="8"/>
  <c r="G270" i="8"/>
  <c r="G274" i="8"/>
  <c r="B268" i="8"/>
  <c r="B39" i="8"/>
  <c r="B41" i="8"/>
  <c r="B269" i="8"/>
  <c r="B270" i="8"/>
  <c r="B274" i="8"/>
  <c r="C273" i="8"/>
  <c r="D273" i="8"/>
  <c r="E273" i="8"/>
  <c r="F273" i="8"/>
  <c r="G273" i="8"/>
  <c r="B273" i="8"/>
  <c r="C272" i="8"/>
  <c r="D272" i="8"/>
  <c r="E272" i="8"/>
  <c r="F272" i="8"/>
  <c r="G272" i="8"/>
  <c r="B272" i="8"/>
  <c r="C266" i="8"/>
  <c r="D266" i="8"/>
  <c r="E266" i="8"/>
  <c r="F266" i="8"/>
  <c r="G266" i="8"/>
  <c r="B266" i="8"/>
  <c r="C265" i="8"/>
  <c r="D265" i="8"/>
  <c r="E265" i="8"/>
  <c r="F265" i="8"/>
  <c r="G265" i="8"/>
  <c r="B265" i="8"/>
  <c r="C256" i="8"/>
  <c r="C264" i="8"/>
  <c r="D256" i="8"/>
  <c r="D264" i="8"/>
  <c r="E256" i="8"/>
  <c r="E264" i="8"/>
  <c r="F256" i="8"/>
  <c r="F264" i="8"/>
  <c r="G256" i="8"/>
  <c r="G264" i="8"/>
  <c r="B256" i="8"/>
  <c r="B264" i="8"/>
  <c r="C263" i="8"/>
  <c r="D263" i="8"/>
  <c r="E263" i="8"/>
  <c r="F263" i="8"/>
  <c r="G263" i="8"/>
  <c r="B263" i="8"/>
  <c r="C254" i="8"/>
  <c r="C262" i="8"/>
  <c r="D254" i="8"/>
  <c r="D262" i="8"/>
  <c r="E254" i="8"/>
  <c r="E262" i="8"/>
  <c r="F254" i="8"/>
  <c r="F262" i="8"/>
  <c r="G254" i="8"/>
  <c r="G262" i="8"/>
  <c r="B254" i="8"/>
  <c r="B262" i="8"/>
  <c r="C261" i="8"/>
  <c r="D261" i="8"/>
  <c r="E261" i="8"/>
  <c r="F261" i="8"/>
  <c r="G261" i="8"/>
  <c r="B261" i="8"/>
  <c r="C252" i="8"/>
  <c r="C260" i="8"/>
  <c r="D252" i="8"/>
  <c r="D260" i="8"/>
  <c r="E252" i="8"/>
  <c r="E260" i="8"/>
  <c r="F252" i="8"/>
  <c r="F260" i="8"/>
  <c r="G252" i="8"/>
  <c r="G260" i="8"/>
  <c r="B252" i="8"/>
  <c r="B260" i="8"/>
  <c r="A250" i="8"/>
  <c r="A249" i="8"/>
  <c r="A247" i="8"/>
  <c r="B247" i="8"/>
  <c r="G339" i="8"/>
  <c r="G340" i="8"/>
  <c r="F339" i="8"/>
  <c r="F340" i="8"/>
  <c r="E339" i="8"/>
  <c r="E340" i="8"/>
  <c r="D339" i="8"/>
  <c r="D340" i="8"/>
  <c r="C339" i="8"/>
  <c r="C340" i="8"/>
  <c r="B339" i="8"/>
  <c r="B340" i="8"/>
  <c r="B332" i="8"/>
  <c r="B333" i="8"/>
  <c r="G332" i="8"/>
  <c r="G333" i="8"/>
  <c r="F332" i="8"/>
  <c r="F333" i="8"/>
  <c r="E332" i="8"/>
  <c r="E333" i="8"/>
  <c r="D332" i="8"/>
  <c r="D333" i="8"/>
  <c r="C332" i="8"/>
  <c r="C333" i="8"/>
  <c r="A308" i="8"/>
  <c r="A307" i="8"/>
  <c r="B305" i="8"/>
  <c r="A305" i="8"/>
  <c r="A287" i="8"/>
  <c r="A286" i="8"/>
  <c r="A284" i="8"/>
  <c r="G241" i="8"/>
  <c r="G245" i="8"/>
  <c r="F241" i="8"/>
  <c r="F245" i="8"/>
  <c r="E241" i="8"/>
  <c r="E245" i="8"/>
  <c r="D241" i="8"/>
  <c r="D245" i="8"/>
  <c r="C241" i="8"/>
  <c r="C245" i="8"/>
  <c r="B241" i="8"/>
  <c r="B245" i="8"/>
  <c r="G240" i="8"/>
  <c r="G244" i="8"/>
  <c r="F240" i="8"/>
  <c r="F244" i="8"/>
  <c r="E240" i="8"/>
  <c r="E244" i="8"/>
  <c r="D240" i="8"/>
  <c r="D244" i="8"/>
  <c r="C240" i="8"/>
  <c r="C244" i="8"/>
  <c r="B240" i="8"/>
  <c r="B244" i="8"/>
  <c r="G101" i="8"/>
  <c r="G114" i="8"/>
  <c r="G121" i="8"/>
  <c r="G243" i="8"/>
  <c r="F101" i="8"/>
  <c r="F114" i="8"/>
  <c r="F121" i="8"/>
  <c r="F243" i="8"/>
  <c r="E101" i="8"/>
  <c r="E114" i="8"/>
  <c r="E121" i="8"/>
  <c r="E243" i="8"/>
  <c r="D101" i="8"/>
  <c r="D114" i="8"/>
  <c r="D121" i="8"/>
  <c r="D243" i="8"/>
  <c r="C101" i="8"/>
  <c r="C114" i="8"/>
  <c r="C121" i="8"/>
  <c r="C243" i="8"/>
  <c r="B101" i="8"/>
  <c r="B114" i="8"/>
  <c r="B121" i="8"/>
  <c r="B243" i="8"/>
  <c r="G242" i="8"/>
  <c r="F242" i="8"/>
  <c r="E242" i="8"/>
  <c r="D242" i="8"/>
  <c r="C242" i="8"/>
  <c r="B242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24" i="8"/>
  <c r="G229" i="8"/>
  <c r="G225" i="8"/>
  <c r="G230" i="8"/>
  <c r="G231" i="8"/>
  <c r="G226" i="8"/>
  <c r="G232" i="8"/>
  <c r="G233" i="8"/>
  <c r="F224" i="8"/>
  <c r="F229" i="8"/>
  <c r="F225" i="8"/>
  <c r="F230" i="8"/>
  <c r="F231" i="8"/>
  <c r="F226" i="8"/>
  <c r="F232" i="8"/>
  <c r="F233" i="8"/>
  <c r="E224" i="8"/>
  <c r="E229" i="8"/>
  <c r="E225" i="8"/>
  <c r="E230" i="8"/>
  <c r="E231" i="8"/>
  <c r="E226" i="8"/>
  <c r="E232" i="8"/>
  <c r="E233" i="8"/>
  <c r="D224" i="8"/>
  <c r="D229" i="8"/>
  <c r="D225" i="8"/>
  <c r="D230" i="8"/>
  <c r="D231" i="8"/>
  <c r="D226" i="8"/>
  <c r="D232" i="8"/>
  <c r="D233" i="8"/>
  <c r="C224" i="8"/>
  <c r="C229" i="8"/>
  <c r="C225" i="8"/>
  <c r="C230" i="8"/>
  <c r="C231" i="8"/>
  <c r="C226" i="8"/>
  <c r="C232" i="8"/>
  <c r="C233" i="8"/>
  <c r="B224" i="8"/>
  <c r="B229" i="8"/>
  <c r="B225" i="8"/>
  <c r="B230" i="8"/>
  <c r="B231" i="8"/>
  <c r="B226" i="8"/>
  <c r="B232" i="8"/>
  <c r="B233" i="8"/>
  <c r="G26" i="8"/>
  <c r="G27" i="8"/>
  <c r="G28" i="8"/>
  <c r="G221" i="8"/>
  <c r="F26" i="8"/>
  <c r="F27" i="8"/>
  <c r="F28" i="8"/>
  <c r="F221" i="8"/>
  <c r="E26" i="8"/>
  <c r="E27" i="8"/>
  <c r="E28" i="8"/>
  <c r="E221" i="8"/>
  <c r="D26" i="8"/>
  <c r="D27" i="8"/>
  <c r="D28" i="8"/>
  <c r="D221" i="8"/>
  <c r="C26" i="8"/>
  <c r="C27" i="8"/>
  <c r="C28" i="8"/>
  <c r="C221" i="8"/>
  <c r="B26" i="8"/>
  <c r="B27" i="8"/>
  <c r="B28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5" i="8"/>
  <c r="G216" i="8"/>
  <c r="G217" i="8"/>
  <c r="F215" i="8"/>
  <c r="F216" i="8"/>
  <c r="F217" i="8"/>
  <c r="E215" i="8"/>
  <c r="E216" i="8"/>
  <c r="E217" i="8"/>
  <c r="D215" i="8"/>
  <c r="D216" i="8"/>
  <c r="D217" i="8"/>
  <c r="C215" i="8"/>
  <c r="C216" i="8"/>
  <c r="C217" i="8"/>
  <c r="B215" i="8"/>
  <c r="B216" i="8"/>
  <c r="B217" i="8"/>
  <c r="A214" i="8"/>
  <c r="A213" i="8"/>
  <c r="B211" i="8"/>
  <c r="A211" i="8"/>
  <c r="G16" i="8"/>
  <c r="G191" i="8"/>
  <c r="G14" i="8"/>
  <c r="G190" i="8"/>
  <c r="G193" i="8"/>
  <c r="F16" i="8"/>
  <c r="F191" i="8"/>
  <c r="F14" i="8"/>
  <c r="F190" i="8"/>
  <c r="F193" i="8"/>
  <c r="E16" i="8"/>
  <c r="E191" i="8"/>
  <c r="E14" i="8"/>
  <c r="E190" i="8"/>
  <c r="E193" i="8"/>
  <c r="D16" i="8"/>
  <c r="D191" i="8"/>
  <c r="D14" i="8"/>
  <c r="D190" i="8"/>
  <c r="D193" i="8"/>
  <c r="C16" i="8"/>
  <c r="C191" i="8"/>
  <c r="C14" i="8"/>
  <c r="C190" i="8"/>
  <c r="C193" i="8"/>
  <c r="B16" i="8"/>
  <c r="B191" i="8"/>
  <c r="B14" i="8"/>
  <c r="B190" i="8"/>
  <c r="B193" i="8"/>
  <c r="G192" i="8"/>
  <c r="F192" i="8"/>
  <c r="E192" i="8"/>
  <c r="D192" i="8"/>
  <c r="C192" i="8"/>
  <c r="B192" i="8"/>
  <c r="G171" i="8"/>
  <c r="G189" i="8"/>
  <c r="F171" i="8"/>
  <c r="F189" i="8"/>
  <c r="E171" i="8"/>
  <c r="E189" i="8"/>
  <c r="D171" i="8"/>
  <c r="D189" i="8"/>
  <c r="C171" i="8"/>
  <c r="C189" i="8"/>
  <c r="B171" i="8"/>
  <c r="B189" i="8"/>
  <c r="G170" i="8"/>
  <c r="G172" i="8"/>
  <c r="G185" i="8"/>
  <c r="G149" i="8"/>
  <c r="G177" i="8"/>
  <c r="G187" i="8"/>
  <c r="F170" i="8"/>
  <c r="F172" i="8"/>
  <c r="F185" i="8"/>
  <c r="F149" i="8"/>
  <c r="F177" i="8"/>
  <c r="F187" i="8"/>
  <c r="E170" i="8"/>
  <c r="E172" i="8"/>
  <c r="E185" i="8"/>
  <c r="E149" i="8"/>
  <c r="E177" i="8"/>
  <c r="E187" i="8"/>
  <c r="D170" i="8"/>
  <c r="D172" i="8"/>
  <c r="D185" i="8"/>
  <c r="D149" i="8"/>
  <c r="D177" i="8"/>
  <c r="D187" i="8"/>
  <c r="C170" i="8"/>
  <c r="C172" i="8"/>
  <c r="C185" i="8"/>
  <c r="C149" i="8"/>
  <c r="C177" i="8"/>
  <c r="C187" i="8"/>
  <c r="B170" i="8"/>
  <c r="B172" i="8"/>
  <c r="B185" i="8"/>
  <c r="B149" i="8"/>
  <c r="B177" i="8"/>
  <c r="B187" i="8"/>
  <c r="G186" i="8"/>
  <c r="F186" i="8"/>
  <c r="E186" i="8"/>
  <c r="D186" i="8"/>
  <c r="C186" i="8"/>
  <c r="B186" i="8"/>
  <c r="G184" i="8"/>
  <c r="F184" i="8"/>
  <c r="E184" i="8"/>
  <c r="D184" i="8"/>
  <c r="C184" i="8"/>
  <c r="B184" i="8"/>
  <c r="B152" i="8"/>
  <c r="B140" i="8"/>
  <c r="B154" i="8"/>
  <c r="C152" i="8"/>
  <c r="C140" i="8"/>
  <c r="C154" i="8"/>
  <c r="D152" i="8"/>
  <c r="D140" i="8"/>
  <c r="D154" i="8"/>
  <c r="E152" i="8"/>
  <c r="E140" i="8"/>
  <c r="E154" i="8"/>
  <c r="F152" i="8"/>
  <c r="F140" i="8"/>
  <c r="F154" i="8"/>
  <c r="G152" i="8"/>
  <c r="G140" i="8"/>
  <c r="G154" i="8"/>
  <c r="B180" i="8" a="1"/>
  <c r="B180" i="8"/>
  <c r="H180" i="8"/>
  <c r="B175" i="8"/>
  <c r="B176" i="8"/>
  <c r="B178" i="8"/>
  <c r="B179" i="8"/>
  <c r="C175" i="8"/>
  <c r="C176" i="8"/>
  <c r="C178" i="8"/>
  <c r="C179" i="8"/>
  <c r="D175" i="8"/>
  <c r="D176" i="8"/>
  <c r="D178" i="8"/>
  <c r="D179" i="8"/>
  <c r="E175" i="8"/>
  <c r="E176" i="8"/>
  <c r="E178" i="8"/>
  <c r="E179" i="8"/>
  <c r="F175" i="8"/>
  <c r="F176" i="8"/>
  <c r="F178" i="8"/>
  <c r="F179" i="8"/>
  <c r="G175" i="8"/>
  <c r="G176" i="8"/>
  <c r="G178" i="8"/>
  <c r="G179" i="8"/>
  <c r="H179" i="8"/>
  <c r="H178" i="8"/>
  <c r="H177" i="8"/>
  <c r="H176" i="8"/>
  <c r="H175" i="8"/>
  <c r="H174" i="8"/>
  <c r="H173" i="8"/>
  <c r="H172" i="8"/>
  <c r="H171" i="8"/>
  <c r="H170" i="8"/>
  <c r="B168" i="8"/>
  <c r="B169" i="8"/>
  <c r="C168" i="8"/>
  <c r="C169" i="8"/>
  <c r="D168" i="8"/>
  <c r="D169" i="8"/>
  <c r="E168" i="8"/>
  <c r="E169" i="8"/>
  <c r="F168" i="8"/>
  <c r="F169" i="8"/>
  <c r="G168" i="8"/>
  <c r="G169" i="8"/>
  <c r="H169" i="8"/>
  <c r="H168" i="8"/>
  <c r="B166" i="8"/>
  <c r="C166" i="8"/>
  <c r="D166" i="8"/>
  <c r="E166" i="8"/>
  <c r="F166" i="8"/>
  <c r="G166" i="8"/>
  <c r="H166" i="8"/>
  <c r="H167" i="8"/>
  <c r="G167" i="8"/>
  <c r="F167" i="8"/>
  <c r="E167" i="8"/>
  <c r="D167" i="8"/>
  <c r="C167" i="8"/>
  <c r="B167" i="8"/>
  <c r="A165" i="8"/>
  <c r="A164" i="8"/>
  <c r="B162" i="8"/>
  <c r="A162" i="8"/>
  <c r="G156" i="8"/>
  <c r="G157" i="8"/>
  <c r="F156" i="8"/>
  <c r="F157" i="8"/>
  <c r="E155" i="8"/>
  <c r="E156" i="8"/>
  <c r="E157" i="8"/>
  <c r="D156" i="8"/>
  <c r="D157" i="8"/>
  <c r="C155" i="8"/>
  <c r="C156" i="8"/>
  <c r="C157" i="8"/>
  <c r="B155" i="8"/>
  <c r="B156" i="8"/>
  <c r="B157" i="8"/>
  <c r="H155" i="8"/>
  <c r="H154" i="8"/>
  <c r="H156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0" i="8"/>
  <c r="H139" i="8"/>
  <c r="H138" i="8"/>
  <c r="H137" i="8"/>
  <c r="H136" i="8"/>
  <c r="H135" i="8"/>
  <c r="H134" i="8"/>
  <c r="B132" i="8"/>
  <c r="C132" i="8"/>
  <c r="D132" i="8"/>
  <c r="E132" i="8"/>
  <c r="F132" i="8"/>
  <c r="G132" i="8"/>
  <c r="H132" i="8"/>
  <c r="B123" i="8"/>
  <c r="B124" i="8"/>
  <c r="B125" i="8"/>
  <c r="B126" i="8"/>
  <c r="B127" i="8"/>
  <c r="B128" i="8"/>
  <c r="B129" i="8"/>
  <c r="B131" i="8"/>
  <c r="C123" i="8"/>
  <c r="C124" i="8"/>
  <c r="C125" i="8"/>
  <c r="C126" i="8"/>
  <c r="C127" i="8"/>
  <c r="C128" i="8"/>
  <c r="C129" i="8"/>
  <c r="C131" i="8"/>
  <c r="D123" i="8"/>
  <c r="D124" i="8"/>
  <c r="D125" i="8"/>
  <c r="D126" i="8"/>
  <c r="D127" i="8"/>
  <c r="D128" i="8"/>
  <c r="D129" i="8"/>
  <c r="D131" i="8"/>
  <c r="E123" i="8"/>
  <c r="E124" i="8"/>
  <c r="E125" i="8"/>
  <c r="E126" i="8"/>
  <c r="E127" i="8"/>
  <c r="E128" i="8"/>
  <c r="E129" i="8"/>
  <c r="E131" i="8"/>
  <c r="F123" i="8"/>
  <c r="F124" i="8"/>
  <c r="F125" i="8"/>
  <c r="F126" i="8"/>
  <c r="F127" i="8"/>
  <c r="F128" i="8"/>
  <c r="F129" i="8"/>
  <c r="F131" i="8"/>
  <c r="G123" i="8"/>
  <c r="G124" i="8"/>
  <c r="G125" i="8"/>
  <c r="G126" i="8"/>
  <c r="G127" i="8"/>
  <c r="G128" i="8"/>
  <c r="G129" i="8"/>
  <c r="G131" i="8"/>
  <c r="H131" i="8"/>
  <c r="H130" i="8"/>
  <c r="H129" i="8"/>
  <c r="H128" i="8"/>
  <c r="H127" i="8"/>
  <c r="H126" i="8"/>
  <c r="H125" i="8"/>
  <c r="H124" i="8"/>
  <c r="H123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A100" i="8"/>
  <c r="A99" i="8"/>
  <c r="B97" i="8"/>
  <c r="A97" i="8"/>
  <c r="G92" i="8"/>
  <c r="G93" i="8"/>
  <c r="G94" i="8"/>
  <c r="G95" i="8"/>
  <c r="F92" i="8"/>
  <c r="F93" i="8"/>
  <c r="F94" i="8"/>
  <c r="F95" i="8"/>
  <c r="E92" i="8"/>
  <c r="E93" i="8"/>
  <c r="E94" i="8"/>
  <c r="E95" i="8"/>
  <c r="D92" i="8"/>
  <c r="D93" i="8"/>
  <c r="D94" i="8"/>
  <c r="D95" i="8"/>
  <c r="C92" i="8"/>
  <c r="C93" i="8"/>
  <c r="C94" i="8"/>
  <c r="C95" i="8"/>
  <c r="B92" i="8"/>
  <c r="B93" i="8"/>
  <c r="B94" i="8"/>
  <c r="B95" i="8"/>
  <c r="H73" i="8"/>
  <c r="H72" i="8"/>
  <c r="H82" i="8"/>
  <c r="G82" i="8"/>
  <c r="F82" i="8"/>
  <c r="E82" i="8"/>
  <c r="D82" i="8"/>
  <c r="C82" i="8"/>
  <c r="B82" i="8"/>
  <c r="F79" i="8"/>
  <c r="G79" i="8"/>
  <c r="E79" i="8"/>
  <c r="D79" i="8"/>
  <c r="C79" i="8"/>
  <c r="B79" i="8"/>
  <c r="G77" i="8"/>
  <c r="F77" i="8"/>
  <c r="E77" i="8"/>
  <c r="D77" i="8"/>
  <c r="C77" i="8"/>
  <c r="B77" i="8"/>
  <c r="H76" i="8"/>
  <c r="H60" i="8"/>
  <c r="H75" i="8"/>
  <c r="H74" i="8"/>
  <c r="H71" i="8"/>
  <c r="H70" i="8"/>
  <c r="H69" i="8"/>
  <c r="H68" i="8"/>
  <c r="H67" i="8"/>
  <c r="H66" i="8"/>
  <c r="H65" i="8"/>
  <c r="H64" i="8"/>
  <c r="H63" i="8"/>
  <c r="H62" i="8"/>
  <c r="H61" i="8"/>
  <c r="A59" i="8"/>
  <c r="A58" i="8"/>
  <c r="B56" i="8"/>
  <c r="A56" i="8"/>
  <c r="B53" i="8"/>
  <c r="B52" i="8"/>
  <c r="C53" i="8"/>
  <c r="C52" i="8"/>
  <c r="D53" i="8"/>
  <c r="D52" i="8"/>
  <c r="E53" i="8"/>
  <c r="E52" i="8"/>
  <c r="F53" i="8"/>
  <c r="F52" i="8"/>
  <c r="G52" i="8"/>
  <c r="H52" i="8"/>
  <c r="H53" i="8"/>
  <c r="H54" i="8"/>
  <c r="B47" i="8"/>
  <c r="B49" i="8"/>
  <c r="B51" i="8"/>
  <c r="C47" i="8"/>
  <c r="C49" i="8"/>
  <c r="C51" i="8"/>
  <c r="D47" i="8"/>
  <c r="D49" i="8"/>
  <c r="D51" i="8"/>
  <c r="E47" i="8"/>
  <c r="E49" i="8"/>
  <c r="E51" i="8"/>
  <c r="F47" i="8"/>
  <c r="F49" i="8"/>
  <c r="F51" i="8"/>
  <c r="G47" i="8"/>
  <c r="G49" i="8"/>
  <c r="G51" i="8"/>
  <c r="H51" i="8"/>
  <c r="H50" i="8"/>
  <c r="H49" i="8"/>
  <c r="H48" i="8"/>
  <c r="H47" i="8"/>
  <c r="A46" i="8"/>
  <c r="A45" i="8"/>
  <c r="A43" i="8"/>
  <c r="G30" i="8"/>
  <c r="G31" i="8"/>
  <c r="G32" i="8"/>
  <c r="G35" i="8"/>
  <c r="G36" i="8"/>
  <c r="F30" i="8"/>
  <c r="F31" i="8"/>
  <c r="F32" i="8"/>
  <c r="F35" i="8"/>
  <c r="F36" i="8"/>
  <c r="E30" i="8"/>
  <c r="E31" i="8"/>
  <c r="E32" i="8"/>
  <c r="E35" i="8"/>
  <c r="E36" i="8"/>
  <c r="D30" i="8"/>
  <c r="D31" i="8"/>
  <c r="D32" i="8"/>
  <c r="D35" i="8"/>
  <c r="D36" i="8"/>
  <c r="C30" i="8"/>
  <c r="C31" i="8"/>
  <c r="C32" i="8"/>
  <c r="C35" i="8"/>
  <c r="C36" i="8"/>
  <c r="B30" i="8"/>
  <c r="B31" i="8"/>
  <c r="B32" i="8"/>
  <c r="B35" i="8"/>
  <c r="B36" i="8"/>
  <c r="F15" i="8"/>
  <c r="G15" i="8"/>
  <c r="E15" i="8"/>
  <c r="D15" i="8"/>
  <c r="C15" i="8"/>
  <c r="B15" i="8"/>
  <c r="F13" i="8"/>
  <c r="G13" i="8"/>
  <c r="E13" i="8"/>
  <c r="D13" i="8"/>
  <c r="C13" i="8"/>
  <c r="B13" i="8"/>
  <c r="F12" i="8"/>
  <c r="G12" i="8"/>
  <c r="E12" i="8"/>
  <c r="D12" i="8"/>
  <c r="C12" i="8"/>
  <c r="B12" i="8"/>
  <c r="G225" i="7"/>
  <c r="G230" i="7"/>
  <c r="G231" i="7"/>
  <c r="G241" i="7"/>
  <c r="G226" i="7"/>
  <c r="G232" i="7"/>
  <c r="G233" i="7"/>
  <c r="B241" i="7"/>
  <c r="B226" i="7"/>
  <c r="B232" i="7"/>
  <c r="B225" i="7"/>
  <c r="B230" i="7"/>
  <c r="C241" i="7"/>
  <c r="C226" i="7"/>
  <c r="C232" i="7"/>
  <c r="D241" i="7"/>
  <c r="D226" i="7"/>
  <c r="D232" i="7"/>
  <c r="E241" i="7"/>
  <c r="E226" i="7"/>
  <c r="E232" i="7"/>
  <c r="F241" i="7"/>
  <c r="F226" i="7"/>
  <c r="F232" i="7"/>
  <c r="C225" i="7"/>
  <c r="C230" i="7"/>
  <c r="C231" i="7"/>
  <c r="C233" i="7"/>
  <c r="D225" i="7"/>
  <c r="D230" i="7"/>
  <c r="D231" i="7"/>
  <c r="D233" i="7"/>
  <c r="E225" i="7"/>
  <c r="E230" i="7"/>
  <c r="E231" i="7"/>
  <c r="E233" i="7"/>
  <c r="F225" i="7"/>
  <c r="F230" i="7"/>
  <c r="F231" i="7"/>
  <c r="F233" i="7"/>
  <c r="C245" i="7"/>
  <c r="D245" i="7"/>
  <c r="E245" i="7"/>
  <c r="F245" i="7"/>
  <c r="G245" i="7"/>
  <c r="B245" i="7"/>
  <c r="C243" i="7"/>
  <c r="D243" i="7"/>
  <c r="E243" i="7"/>
  <c r="F243" i="7"/>
  <c r="G243" i="7"/>
  <c r="B243" i="7"/>
  <c r="C242" i="7"/>
  <c r="D242" i="7"/>
  <c r="E242" i="7"/>
  <c r="F242" i="7"/>
  <c r="G242" i="7"/>
  <c r="B242" i="7"/>
  <c r="C238" i="7"/>
  <c r="D238" i="7"/>
  <c r="E238" i="7"/>
  <c r="F238" i="7"/>
  <c r="G238" i="7"/>
  <c r="B238" i="7"/>
  <c r="C237" i="7"/>
  <c r="D237" i="7"/>
  <c r="E237" i="7"/>
  <c r="F237" i="7"/>
  <c r="G237" i="7"/>
  <c r="B237" i="7"/>
  <c r="G236" i="7"/>
  <c r="C236" i="7"/>
  <c r="D236" i="7"/>
  <c r="E236" i="7"/>
  <c r="F236" i="7"/>
  <c r="B236" i="7"/>
  <c r="B231" i="7"/>
  <c r="B233" i="7"/>
  <c r="C217" i="7"/>
  <c r="D217" i="7"/>
  <c r="E217" i="7"/>
  <c r="F217" i="7"/>
  <c r="G217" i="7"/>
  <c r="B217" i="7"/>
  <c r="A214" i="7"/>
  <c r="A213" i="7"/>
  <c r="B211" i="7"/>
  <c r="A211" i="7"/>
  <c r="A271" i="7"/>
  <c r="A270" i="7"/>
  <c r="B268" i="7"/>
  <c r="A268" i="7"/>
  <c r="A250" i="7"/>
  <c r="A249" i="7"/>
  <c r="B247" i="7"/>
  <c r="A247" i="7"/>
  <c r="C16" i="5"/>
  <c r="C191" i="5"/>
  <c r="C223" i="5"/>
  <c r="C221" i="5"/>
  <c r="C220" i="5"/>
  <c r="C14" i="5"/>
  <c r="C190" i="5"/>
  <c r="C193" i="5"/>
  <c r="D16" i="5"/>
  <c r="D191" i="5"/>
  <c r="D223" i="5"/>
  <c r="D221" i="5"/>
  <c r="D220" i="5"/>
  <c r="D14" i="5"/>
  <c r="D190" i="5"/>
  <c r="D193" i="5"/>
  <c r="E16" i="5"/>
  <c r="E191" i="5"/>
  <c r="E223" i="5"/>
  <c r="E221" i="5"/>
  <c r="E220" i="5"/>
  <c r="E14" i="5"/>
  <c r="E190" i="5"/>
  <c r="E193" i="5"/>
  <c r="F16" i="5"/>
  <c r="F191" i="5"/>
  <c r="F223" i="5"/>
  <c r="F221" i="5"/>
  <c r="F220" i="5"/>
  <c r="F14" i="5"/>
  <c r="F190" i="5"/>
  <c r="F193" i="5"/>
  <c r="G16" i="5"/>
  <c r="G191" i="5"/>
  <c r="G223" i="5"/>
  <c r="G221" i="5"/>
  <c r="G220" i="5"/>
  <c r="G14" i="5"/>
  <c r="G190" i="5"/>
  <c r="G193" i="5"/>
  <c r="B16" i="5"/>
  <c r="B191" i="5"/>
  <c r="B223" i="5"/>
  <c r="B221" i="5"/>
  <c r="B220" i="5"/>
  <c r="B14" i="5"/>
  <c r="B190" i="5"/>
  <c r="B193" i="5"/>
  <c r="C192" i="5"/>
  <c r="D192" i="5"/>
  <c r="E192" i="5"/>
  <c r="F192" i="5"/>
  <c r="G192" i="5"/>
  <c r="B192" i="5"/>
  <c r="G171" i="5"/>
  <c r="G189" i="5"/>
  <c r="C171" i="5"/>
  <c r="C189" i="5"/>
  <c r="D171" i="5"/>
  <c r="D189" i="5"/>
  <c r="E171" i="5"/>
  <c r="E189" i="5"/>
  <c r="F171" i="5"/>
  <c r="F189" i="5"/>
  <c r="B171" i="5"/>
  <c r="B189" i="5"/>
  <c r="C101" i="5"/>
  <c r="C114" i="5"/>
  <c r="C121" i="5"/>
  <c r="C170" i="5"/>
  <c r="C172" i="5"/>
  <c r="C185" i="5"/>
  <c r="C149" i="5"/>
  <c r="C177" i="5"/>
  <c r="C187" i="5"/>
  <c r="D101" i="5"/>
  <c r="D114" i="5"/>
  <c r="D121" i="5"/>
  <c r="D170" i="5"/>
  <c r="D172" i="5"/>
  <c r="D185" i="5"/>
  <c r="D149" i="5"/>
  <c r="D177" i="5"/>
  <c r="D187" i="5"/>
  <c r="E101" i="5"/>
  <c r="E114" i="5"/>
  <c r="E121" i="5"/>
  <c r="E170" i="5"/>
  <c r="E172" i="5"/>
  <c r="E185" i="5"/>
  <c r="E149" i="5"/>
  <c r="E177" i="5"/>
  <c r="E187" i="5"/>
  <c r="F101" i="5"/>
  <c r="F114" i="5"/>
  <c r="F121" i="5"/>
  <c r="F170" i="5"/>
  <c r="F172" i="5"/>
  <c r="F185" i="5"/>
  <c r="F149" i="5"/>
  <c r="F177" i="5"/>
  <c r="F187" i="5"/>
  <c r="G101" i="5"/>
  <c r="G114" i="5"/>
  <c r="G121" i="5"/>
  <c r="G170" i="5"/>
  <c r="G172" i="5"/>
  <c r="G185" i="5"/>
  <c r="G149" i="5"/>
  <c r="G177" i="5"/>
  <c r="G187" i="5"/>
  <c r="B101" i="5"/>
  <c r="B114" i="5"/>
  <c r="B121" i="5"/>
  <c r="B170" i="5"/>
  <c r="B172" i="5"/>
  <c r="B185" i="5"/>
  <c r="B149" i="5"/>
  <c r="B177" i="5"/>
  <c r="B187" i="5"/>
  <c r="C186" i="5"/>
  <c r="D186" i="5"/>
  <c r="E186" i="5"/>
  <c r="F186" i="5"/>
  <c r="G186" i="5"/>
  <c r="B186" i="5"/>
  <c r="C184" i="5"/>
  <c r="D184" i="5"/>
  <c r="E184" i="5"/>
  <c r="F184" i="5"/>
  <c r="G184" i="5"/>
  <c r="B184" i="5"/>
  <c r="G175" i="5"/>
  <c r="G176" i="5"/>
  <c r="G178" i="5"/>
  <c r="C175" i="5"/>
  <c r="C176" i="5"/>
  <c r="C178" i="5"/>
  <c r="D175" i="5"/>
  <c r="D176" i="5"/>
  <c r="D178" i="5"/>
  <c r="E175" i="5"/>
  <c r="E176" i="5"/>
  <c r="E178" i="5"/>
  <c r="F175" i="5"/>
  <c r="F176" i="5"/>
  <c r="F178" i="5"/>
  <c r="B175" i="5"/>
  <c r="B176" i="5"/>
  <c r="B178" i="5"/>
  <c r="B152" i="5"/>
  <c r="B140" i="5"/>
  <c r="B154" i="5"/>
  <c r="C152" i="5"/>
  <c r="C140" i="5"/>
  <c r="C154" i="5"/>
  <c r="D152" i="5"/>
  <c r="D140" i="5"/>
  <c r="D154" i="5"/>
  <c r="E152" i="5"/>
  <c r="E140" i="5"/>
  <c r="E154" i="5"/>
  <c r="F152" i="5"/>
  <c r="F140" i="5"/>
  <c r="F154" i="5"/>
  <c r="G152" i="5"/>
  <c r="G140" i="5"/>
  <c r="G154" i="5"/>
  <c r="B180" i="5" a="1"/>
  <c r="B180" i="5"/>
  <c r="B179" i="5"/>
  <c r="C179" i="5"/>
  <c r="D179" i="5"/>
  <c r="E179" i="5"/>
  <c r="F179" i="5"/>
  <c r="G179" i="5"/>
  <c r="H179" i="5"/>
  <c r="H178" i="5"/>
  <c r="H176" i="5"/>
  <c r="H173" i="5"/>
  <c r="H177" i="5"/>
  <c r="H174" i="5"/>
  <c r="H175" i="5"/>
  <c r="H180" i="5"/>
  <c r="H172" i="5"/>
  <c r="H171" i="5"/>
  <c r="H170" i="5"/>
  <c r="B168" i="5"/>
  <c r="B169" i="5"/>
  <c r="C168" i="5"/>
  <c r="C169" i="5"/>
  <c r="D168" i="5"/>
  <c r="D169" i="5"/>
  <c r="E168" i="5"/>
  <c r="E169" i="5"/>
  <c r="F168" i="5"/>
  <c r="F169" i="5"/>
  <c r="G168" i="5"/>
  <c r="G169" i="5"/>
  <c r="H169" i="5"/>
  <c r="C166" i="5"/>
  <c r="C167" i="5"/>
  <c r="D166" i="5"/>
  <c r="D167" i="5"/>
  <c r="E166" i="5"/>
  <c r="E167" i="5"/>
  <c r="F166" i="5"/>
  <c r="F167" i="5"/>
  <c r="G166" i="5"/>
  <c r="G167" i="5"/>
  <c r="H168" i="5"/>
  <c r="B166" i="5"/>
  <c r="H166" i="5"/>
  <c r="H167" i="5"/>
  <c r="B167" i="5"/>
  <c r="A162" i="5"/>
  <c r="A164" i="5"/>
  <c r="A165" i="5"/>
  <c r="B162" i="5"/>
  <c r="G266" i="5"/>
  <c r="G267" i="5"/>
  <c r="G31" i="5"/>
  <c r="F266" i="5"/>
  <c r="F267" i="5"/>
  <c r="F31" i="5"/>
  <c r="E266" i="5"/>
  <c r="E267" i="5"/>
  <c r="E31" i="5"/>
  <c r="D266" i="5"/>
  <c r="D267" i="5"/>
  <c r="D31" i="5"/>
  <c r="C266" i="5"/>
  <c r="C267" i="5"/>
  <c r="C31" i="5"/>
  <c r="B266" i="5"/>
  <c r="B267" i="5"/>
  <c r="B31" i="5"/>
  <c r="G127" i="5"/>
  <c r="F127" i="5"/>
  <c r="E127" i="5"/>
  <c r="D127" i="5"/>
  <c r="C127" i="5"/>
  <c r="B127" i="5"/>
  <c r="B18" i="5"/>
  <c r="F278" i="5"/>
  <c r="F279" i="5"/>
  <c r="F280" i="5"/>
  <c r="G278" i="5"/>
  <c r="G279" i="5"/>
  <c r="G280" i="5"/>
  <c r="X280" i="5"/>
  <c r="E278" i="5"/>
  <c r="E279" i="5"/>
  <c r="E280" i="5"/>
  <c r="W280" i="5"/>
  <c r="D278" i="5"/>
  <c r="D279" i="5"/>
  <c r="D280" i="5"/>
  <c r="V280" i="5"/>
  <c r="C278" i="5"/>
  <c r="C279" i="5"/>
  <c r="C280" i="5"/>
  <c r="U280" i="5"/>
  <c r="B278" i="5"/>
  <c r="B279" i="5"/>
  <c r="B280" i="5"/>
  <c r="T280" i="5"/>
  <c r="S280" i="5"/>
  <c r="R280" i="5"/>
  <c r="O280" i="5"/>
  <c r="N280" i="5"/>
  <c r="M280" i="5"/>
  <c r="L280" i="5"/>
  <c r="K280" i="5"/>
  <c r="J280" i="5"/>
  <c r="X279" i="5"/>
  <c r="W279" i="5"/>
  <c r="V279" i="5"/>
  <c r="U279" i="5"/>
  <c r="T279" i="5"/>
  <c r="S279" i="5"/>
  <c r="R279" i="5"/>
  <c r="O279" i="5"/>
  <c r="N279" i="5"/>
  <c r="M279" i="5"/>
  <c r="L279" i="5"/>
  <c r="K279" i="5"/>
  <c r="J279" i="5"/>
  <c r="X278" i="5"/>
  <c r="W278" i="5"/>
  <c r="V278" i="5"/>
  <c r="U278" i="5"/>
  <c r="T278" i="5"/>
  <c r="S278" i="5"/>
  <c r="R278" i="5"/>
  <c r="O278" i="5"/>
  <c r="N278" i="5"/>
  <c r="M278" i="5"/>
  <c r="L278" i="5"/>
  <c r="K278" i="5"/>
  <c r="J278" i="5"/>
  <c r="X277" i="5"/>
  <c r="W277" i="5"/>
  <c r="V277" i="5"/>
  <c r="U277" i="5"/>
  <c r="T277" i="5"/>
  <c r="S277" i="5"/>
  <c r="R277" i="5"/>
  <c r="O277" i="5"/>
  <c r="N277" i="5"/>
  <c r="M277" i="5"/>
  <c r="L277" i="5"/>
  <c r="K277" i="5"/>
  <c r="J277" i="5"/>
  <c r="F275" i="5"/>
  <c r="G275" i="5"/>
  <c r="X275" i="5"/>
  <c r="E275" i="5"/>
  <c r="W275" i="5"/>
  <c r="D275" i="5"/>
  <c r="V275" i="5"/>
  <c r="C275" i="5"/>
  <c r="U275" i="5"/>
  <c r="B275" i="5"/>
  <c r="T275" i="5"/>
  <c r="S275" i="5"/>
  <c r="R275" i="5"/>
  <c r="G240" i="5"/>
  <c r="G10" i="5"/>
  <c r="G11" i="5"/>
  <c r="G18" i="5"/>
  <c r="G244" i="5"/>
  <c r="G19" i="5"/>
  <c r="G247" i="5"/>
  <c r="G248" i="5"/>
  <c r="G20" i="5"/>
  <c r="G21" i="5"/>
  <c r="O275" i="5"/>
  <c r="F240" i="5"/>
  <c r="F10" i="5"/>
  <c r="F11" i="5"/>
  <c r="F18" i="5"/>
  <c r="F244" i="5"/>
  <c r="F19" i="5"/>
  <c r="F247" i="5"/>
  <c r="F248" i="5"/>
  <c r="F20" i="5"/>
  <c r="F21" i="5"/>
  <c r="N275" i="5"/>
  <c r="E240" i="5"/>
  <c r="E10" i="5"/>
  <c r="E11" i="5"/>
  <c r="E18" i="5"/>
  <c r="E244" i="5"/>
  <c r="E19" i="5"/>
  <c r="E247" i="5"/>
  <c r="E248" i="5"/>
  <c r="E20" i="5"/>
  <c r="E21" i="5"/>
  <c r="M275" i="5"/>
  <c r="D240" i="5"/>
  <c r="D10" i="5"/>
  <c r="D11" i="5"/>
  <c r="D18" i="5"/>
  <c r="D244" i="5"/>
  <c r="D19" i="5"/>
  <c r="D247" i="5"/>
  <c r="D248" i="5"/>
  <c r="D20" i="5"/>
  <c r="D21" i="5"/>
  <c r="L275" i="5"/>
  <c r="C240" i="5"/>
  <c r="C10" i="5"/>
  <c r="C11" i="5"/>
  <c r="C18" i="5"/>
  <c r="C244" i="5"/>
  <c r="C19" i="5"/>
  <c r="C247" i="5"/>
  <c r="C248" i="5"/>
  <c r="C20" i="5"/>
  <c r="C21" i="5"/>
  <c r="K275" i="5"/>
  <c r="B240" i="5"/>
  <c r="B10" i="5"/>
  <c r="B11" i="5"/>
  <c r="B244" i="5"/>
  <c r="B19" i="5"/>
  <c r="B247" i="5"/>
  <c r="B248" i="5"/>
  <c r="B20" i="5"/>
  <c r="B21" i="5"/>
  <c r="J275" i="5"/>
  <c r="X274" i="5"/>
  <c r="W274" i="5"/>
  <c r="V274" i="5"/>
  <c r="U274" i="5"/>
  <c r="T274" i="5"/>
  <c r="S274" i="5"/>
  <c r="R274" i="5"/>
  <c r="O274" i="5"/>
  <c r="N274" i="5"/>
  <c r="M274" i="5"/>
  <c r="L274" i="5"/>
  <c r="K274" i="5"/>
  <c r="J274" i="5"/>
  <c r="X273" i="5"/>
  <c r="W273" i="5"/>
  <c r="V273" i="5"/>
  <c r="U273" i="5"/>
  <c r="T273" i="5"/>
  <c r="S273" i="5"/>
  <c r="R273" i="5"/>
  <c r="O273" i="5"/>
  <c r="N273" i="5"/>
  <c r="M273" i="5"/>
  <c r="L273" i="5"/>
  <c r="K273" i="5"/>
  <c r="J273" i="5"/>
  <c r="X272" i="5"/>
  <c r="W272" i="5"/>
  <c r="V272" i="5"/>
  <c r="U272" i="5"/>
  <c r="T272" i="5"/>
  <c r="S272" i="5"/>
  <c r="R272" i="5"/>
  <c r="O272" i="5"/>
  <c r="N272" i="5"/>
  <c r="M272" i="5"/>
  <c r="L272" i="5"/>
  <c r="K272" i="5"/>
  <c r="J272" i="5"/>
  <c r="X271" i="5"/>
  <c r="W271" i="5"/>
  <c r="V271" i="5"/>
  <c r="U271" i="5"/>
  <c r="T271" i="5"/>
  <c r="S271" i="5"/>
  <c r="R271" i="5"/>
  <c r="O271" i="5"/>
  <c r="N271" i="5"/>
  <c r="M271" i="5"/>
  <c r="L271" i="5"/>
  <c r="K271" i="5"/>
  <c r="J271" i="5"/>
  <c r="X270" i="5"/>
  <c r="W270" i="5"/>
  <c r="V270" i="5"/>
  <c r="U270" i="5"/>
  <c r="T270" i="5"/>
  <c r="S270" i="5"/>
  <c r="R270" i="5"/>
  <c r="O270" i="5"/>
  <c r="N270" i="5"/>
  <c r="M270" i="5"/>
  <c r="L270" i="5"/>
  <c r="K270" i="5"/>
  <c r="J270" i="5"/>
  <c r="X269" i="5"/>
  <c r="W269" i="5"/>
  <c r="V269" i="5"/>
  <c r="U269" i="5"/>
  <c r="T269" i="5"/>
  <c r="S269" i="5"/>
  <c r="R269" i="5"/>
  <c r="O269" i="5"/>
  <c r="N269" i="5"/>
  <c r="M269" i="5"/>
  <c r="L269" i="5"/>
  <c r="K269" i="5"/>
  <c r="J269" i="5"/>
  <c r="X265" i="5"/>
  <c r="W265" i="5"/>
  <c r="V265" i="5"/>
  <c r="U265" i="5"/>
  <c r="T265" i="5"/>
  <c r="S265" i="5"/>
  <c r="R265" i="5"/>
  <c r="O265" i="5"/>
  <c r="N265" i="5"/>
  <c r="M265" i="5"/>
  <c r="L265" i="5"/>
  <c r="K265" i="5"/>
  <c r="J265" i="5"/>
  <c r="T264" i="5"/>
  <c r="S264" i="5"/>
  <c r="O264" i="5"/>
  <c r="N264" i="5"/>
  <c r="M264" i="5"/>
  <c r="L264" i="5"/>
  <c r="K264" i="5"/>
  <c r="J264" i="5"/>
  <c r="X263" i="5"/>
  <c r="W263" i="5"/>
  <c r="V263" i="5"/>
  <c r="U263" i="5"/>
  <c r="T263" i="5"/>
  <c r="S263" i="5"/>
  <c r="R263" i="5"/>
  <c r="O263" i="5"/>
  <c r="N263" i="5"/>
  <c r="M263" i="5"/>
  <c r="L263" i="5"/>
  <c r="K263" i="5"/>
  <c r="J263" i="5"/>
  <c r="X262" i="5"/>
  <c r="W262" i="5"/>
  <c r="V262" i="5"/>
  <c r="U262" i="5"/>
  <c r="T262" i="5"/>
  <c r="S262" i="5"/>
  <c r="R262" i="5"/>
  <c r="O262" i="5"/>
  <c r="N262" i="5"/>
  <c r="M262" i="5"/>
  <c r="L262" i="5"/>
  <c r="K262" i="5"/>
  <c r="J262" i="5"/>
  <c r="B259" i="5"/>
  <c r="B260" i="5"/>
  <c r="G259" i="5"/>
  <c r="G260" i="5"/>
  <c r="F259" i="5"/>
  <c r="F260" i="5"/>
  <c r="E259" i="5"/>
  <c r="E260" i="5"/>
  <c r="D259" i="5"/>
  <c r="D260" i="5"/>
  <c r="C259" i="5"/>
  <c r="C260" i="5"/>
  <c r="X258" i="5"/>
  <c r="W258" i="5"/>
  <c r="V258" i="5"/>
  <c r="U258" i="5"/>
  <c r="T258" i="5"/>
  <c r="S258" i="5"/>
  <c r="R258" i="5"/>
  <c r="O258" i="5"/>
  <c r="N258" i="5"/>
  <c r="M258" i="5"/>
  <c r="L258" i="5"/>
  <c r="K258" i="5"/>
  <c r="J258" i="5"/>
  <c r="W257" i="5"/>
  <c r="V257" i="5"/>
  <c r="U257" i="5"/>
  <c r="O257" i="5"/>
  <c r="N257" i="5"/>
  <c r="M257" i="5"/>
  <c r="L257" i="5"/>
  <c r="K257" i="5"/>
  <c r="J257" i="5"/>
  <c r="T256" i="5"/>
  <c r="S256" i="5"/>
  <c r="O256" i="5"/>
  <c r="N256" i="5"/>
  <c r="M256" i="5"/>
  <c r="L256" i="5"/>
  <c r="K256" i="5"/>
  <c r="J256" i="5"/>
  <c r="X255" i="5"/>
  <c r="W255" i="5"/>
  <c r="V255" i="5"/>
  <c r="U255" i="5"/>
  <c r="T255" i="5"/>
  <c r="S255" i="5"/>
  <c r="R255" i="5"/>
  <c r="O255" i="5"/>
  <c r="N255" i="5"/>
  <c r="M255" i="5"/>
  <c r="L255" i="5"/>
  <c r="K255" i="5"/>
  <c r="J255" i="5"/>
  <c r="X254" i="5"/>
  <c r="W254" i="5"/>
  <c r="V254" i="5"/>
  <c r="U254" i="5"/>
  <c r="T254" i="5"/>
  <c r="S254" i="5"/>
  <c r="R254" i="5"/>
  <c r="O254" i="5"/>
  <c r="N254" i="5"/>
  <c r="M254" i="5"/>
  <c r="L254" i="5"/>
  <c r="K254" i="5"/>
  <c r="J254" i="5"/>
  <c r="G252" i="5"/>
  <c r="F252" i="5"/>
  <c r="E252" i="5"/>
  <c r="D252" i="5"/>
  <c r="C252" i="5"/>
  <c r="B252" i="5"/>
  <c r="X251" i="5"/>
  <c r="W251" i="5"/>
  <c r="V251" i="5"/>
  <c r="U251" i="5"/>
  <c r="T251" i="5"/>
  <c r="S251" i="5"/>
  <c r="R251" i="5"/>
  <c r="O251" i="5"/>
  <c r="N251" i="5"/>
  <c r="M251" i="5"/>
  <c r="L251" i="5"/>
  <c r="K251" i="5"/>
  <c r="J251" i="5"/>
  <c r="X250" i="5"/>
  <c r="W250" i="5"/>
  <c r="V250" i="5"/>
  <c r="U250" i="5"/>
  <c r="T250" i="5"/>
  <c r="S250" i="5"/>
  <c r="R250" i="5"/>
  <c r="O250" i="5"/>
  <c r="N250" i="5"/>
  <c r="M250" i="5"/>
  <c r="L250" i="5"/>
  <c r="K250" i="5"/>
  <c r="J250" i="5"/>
  <c r="X243" i="5"/>
  <c r="W243" i="5"/>
  <c r="V243" i="5"/>
  <c r="U243" i="5"/>
  <c r="T243" i="5"/>
  <c r="S243" i="5"/>
  <c r="R243" i="5"/>
  <c r="O243" i="5"/>
  <c r="N243" i="5"/>
  <c r="M243" i="5"/>
  <c r="L243" i="5"/>
  <c r="K243" i="5"/>
  <c r="J243" i="5"/>
  <c r="X242" i="5"/>
  <c r="W242" i="5"/>
  <c r="V242" i="5"/>
  <c r="U242" i="5"/>
  <c r="T242" i="5"/>
  <c r="S242" i="5"/>
  <c r="R242" i="5"/>
  <c r="O242" i="5"/>
  <c r="N242" i="5"/>
  <c r="M242" i="5"/>
  <c r="L242" i="5"/>
  <c r="K242" i="5"/>
  <c r="J242" i="5"/>
  <c r="X239" i="5"/>
  <c r="W239" i="5"/>
  <c r="V239" i="5"/>
  <c r="U239" i="5"/>
  <c r="T239" i="5"/>
  <c r="S239" i="5"/>
  <c r="R239" i="5"/>
  <c r="O239" i="5"/>
  <c r="N239" i="5"/>
  <c r="M239" i="5"/>
  <c r="L239" i="5"/>
  <c r="K239" i="5"/>
  <c r="J239" i="5"/>
  <c r="X238" i="5"/>
  <c r="W238" i="5"/>
  <c r="V238" i="5"/>
  <c r="U238" i="5"/>
  <c r="T238" i="5"/>
  <c r="S238" i="5"/>
  <c r="R238" i="5"/>
  <c r="O238" i="5"/>
  <c r="N238" i="5"/>
  <c r="M238" i="5"/>
  <c r="L238" i="5"/>
  <c r="K238" i="5"/>
  <c r="J238" i="5"/>
  <c r="X237" i="5"/>
  <c r="W237" i="5"/>
  <c r="V237" i="5"/>
  <c r="U237" i="5"/>
  <c r="T237" i="5"/>
  <c r="S237" i="5"/>
  <c r="R237" i="5"/>
  <c r="O237" i="5"/>
  <c r="N237" i="5"/>
  <c r="M237" i="5"/>
  <c r="L237" i="5"/>
  <c r="K237" i="5"/>
  <c r="J237" i="5"/>
  <c r="X236" i="5"/>
  <c r="W236" i="5"/>
  <c r="R236" i="5"/>
  <c r="O236" i="5"/>
  <c r="N236" i="5"/>
  <c r="M236" i="5"/>
  <c r="L236" i="5"/>
  <c r="K236" i="5"/>
  <c r="J236" i="5"/>
  <c r="A235" i="5"/>
  <c r="A234" i="5"/>
  <c r="B232" i="5"/>
  <c r="A232" i="5"/>
  <c r="A214" i="5"/>
  <c r="A213" i="5"/>
  <c r="B211" i="5"/>
  <c r="A211" i="5"/>
  <c r="G156" i="5"/>
  <c r="G157" i="5"/>
  <c r="F156" i="5"/>
  <c r="F157" i="5"/>
  <c r="E155" i="5"/>
  <c r="E156" i="5"/>
  <c r="E157" i="5"/>
  <c r="D156" i="5"/>
  <c r="D157" i="5"/>
  <c r="C155" i="5"/>
  <c r="C156" i="5"/>
  <c r="C157" i="5"/>
  <c r="B155" i="5"/>
  <c r="B156" i="5"/>
  <c r="B157" i="5"/>
  <c r="X156" i="5"/>
  <c r="W156" i="5"/>
  <c r="V156" i="5"/>
  <c r="U156" i="5"/>
  <c r="T156" i="5"/>
  <c r="S156" i="5"/>
  <c r="R156" i="5"/>
  <c r="O156" i="5"/>
  <c r="N156" i="5"/>
  <c r="M156" i="5"/>
  <c r="L156" i="5"/>
  <c r="K156" i="5"/>
  <c r="J156" i="5"/>
  <c r="H155" i="5"/>
  <c r="H154" i="5"/>
  <c r="H156" i="5"/>
  <c r="X155" i="5"/>
  <c r="W155" i="5"/>
  <c r="V155" i="5"/>
  <c r="U155" i="5"/>
  <c r="T155" i="5"/>
  <c r="S155" i="5"/>
  <c r="R155" i="5"/>
  <c r="O155" i="5"/>
  <c r="N155" i="5"/>
  <c r="M155" i="5"/>
  <c r="L155" i="5"/>
  <c r="K155" i="5"/>
  <c r="J155" i="5"/>
  <c r="X154" i="5"/>
  <c r="W154" i="5"/>
  <c r="V154" i="5"/>
  <c r="U154" i="5"/>
  <c r="T154" i="5"/>
  <c r="S154" i="5"/>
  <c r="R154" i="5"/>
  <c r="O154" i="5"/>
  <c r="N154" i="5"/>
  <c r="M154" i="5"/>
  <c r="L154" i="5"/>
  <c r="K154" i="5"/>
  <c r="J154" i="5"/>
  <c r="X153" i="5"/>
  <c r="W153" i="5"/>
  <c r="V153" i="5"/>
  <c r="U153" i="5"/>
  <c r="T153" i="5"/>
  <c r="S153" i="5"/>
  <c r="O153" i="5"/>
  <c r="N153" i="5"/>
  <c r="M153" i="5"/>
  <c r="L153" i="5"/>
  <c r="K153" i="5"/>
  <c r="J153" i="5"/>
  <c r="H153" i="5"/>
  <c r="X152" i="5"/>
  <c r="W152" i="5"/>
  <c r="V152" i="5"/>
  <c r="U152" i="5"/>
  <c r="T152" i="5"/>
  <c r="S152" i="5"/>
  <c r="R152" i="5"/>
  <c r="O152" i="5"/>
  <c r="N152" i="5"/>
  <c r="M152" i="5"/>
  <c r="L152" i="5"/>
  <c r="K152" i="5"/>
  <c r="J152" i="5"/>
  <c r="H152" i="5"/>
  <c r="X151" i="5"/>
  <c r="W151" i="5"/>
  <c r="V151" i="5"/>
  <c r="U151" i="5"/>
  <c r="T151" i="5"/>
  <c r="S151" i="5"/>
  <c r="O151" i="5"/>
  <c r="N151" i="5"/>
  <c r="M151" i="5"/>
  <c r="L151" i="5"/>
  <c r="K151" i="5"/>
  <c r="J151" i="5"/>
  <c r="H151" i="5"/>
  <c r="X150" i="5"/>
  <c r="W150" i="5"/>
  <c r="V150" i="5"/>
  <c r="U150" i="5"/>
  <c r="T150" i="5"/>
  <c r="S150" i="5"/>
  <c r="R150" i="5"/>
  <c r="O150" i="5"/>
  <c r="N150" i="5"/>
  <c r="M150" i="5"/>
  <c r="L150" i="5"/>
  <c r="K150" i="5"/>
  <c r="J150" i="5"/>
  <c r="H150" i="5"/>
  <c r="H149" i="5"/>
  <c r="X148" i="5"/>
  <c r="W148" i="5"/>
  <c r="V148" i="5"/>
  <c r="S148" i="5"/>
  <c r="R148" i="5"/>
  <c r="O148" i="5"/>
  <c r="N148" i="5"/>
  <c r="M148" i="5"/>
  <c r="L148" i="5"/>
  <c r="K148" i="5"/>
  <c r="J148" i="5"/>
  <c r="H148" i="5"/>
  <c r="X147" i="5"/>
  <c r="W147" i="5"/>
  <c r="V147" i="5"/>
  <c r="S147" i="5"/>
  <c r="R147" i="5"/>
  <c r="O147" i="5"/>
  <c r="N147" i="5"/>
  <c r="M147" i="5"/>
  <c r="L147" i="5"/>
  <c r="K147" i="5"/>
  <c r="J147" i="5"/>
  <c r="H147" i="5"/>
  <c r="U146" i="5"/>
  <c r="S146" i="5"/>
  <c r="O146" i="5"/>
  <c r="N146" i="5"/>
  <c r="M146" i="5"/>
  <c r="L146" i="5"/>
  <c r="K146" i="5"/>
  <c r="J146" i="5"/>
  <c r="H146" i="5"/>
  <c r="U145" i="5"/>
  <c r="S145" i="5"/>
  <c r="O145" i="5"/>
  <c r="N145" i="5"/>
  <c r="M145" i="5"/>
  <c r="L145" i="5"/>
  <c r="K145" i="5"/>
  <c r="J145" i="5"/>
  <c r="H145" i="5"/>
  <c r="V144" i="5"/>
  <c r="U144" i="5"/>
  <c r="T144" i="5"/>
  <c r="S144" i="5"/>
  <c r="O144" i="5"/>
  <c r="N144" i="5"/>
  <c r="M144" i="5"/>
  <c r="L144" i="5"/>
  <c r="K144" i="5"/>
  <c r="J144" i="5"/>
  <c r="H144" i="5"/>
  <c r="X143" i="5"/>
  <c r="W143" i="5"/>
  <c r="V143" i="5"/>
  <c r="U143" i="5"/>
  <c r="S143" i="5"/>
  <c r="R143" i="5"/>
  <c r="O143" i="5"/>
  <c r="N143" i="5"/>
  <c r="M143" i="5"/>
  <c r="L143" i="5"/>
  <c r="K143" i="5"/>
  <c r="J143" i="5"/>
  <c r="H143" i="5"/>
  <c r="X142" i="5"/>
  <c r="W142" i="5"/>
  <c r="V142" i="5"/>
  <c r="U142" i="5"/>
  <c r="T142" i="5"/>
  <c r="S142" i="5"/>
  <c r="R142" i="5"/>
  <c r="O142" i="5"/>
  <c r="N142" i="5"/>
  <c r="M142" i="5"/>
  <c r="L142" i="5"/>
  <c r="K142" i="5"/>
  <c r="J142" i="5"/>
  <c r="H142" i="5"/>
  <c r="X140" i="5"/>
  <c r="W140" i="5"/>
  <c r="V140" i="5"/>
  <c r="U140" i="5"/>
  <c r="T140" i="5"/>
  <c r="S140" i="5"/>
  <c r="O140" i="5"/>
  <c r="N140" i="5"/>
  <c r="M140" i="5"/>
  <c r="L140" i="5"/>
  <c r="K140" i="5"/>
  <c r="J140" i="5"/>
  <c r="H140" i="5"/>
  <c r="X139" i="5"/>
  <c r="W139" i="5"/>
  <c r="V139" i="5"/>
  <c r="U139" i="5"/>
  <c r="T139" i="5"/>
  <c r="S139" i="5"/>
  <c r="R139" i="5"/>
  <c r="O139" i="5"/>
  <c r="N139" i="5"/>
  <c r="M139" i="5"/>
  <c r="L139" i="5"/>
  <c r="K139" i="5"/>
  <c r="J139" i="5"/>
  <c r="H139" i="5"/>
  <c r="W138" i="5"/>
  <c r="V138" i="5"/>
  <c r="T138" i="5"/>
  <c r="S138" i="5"/>
  <c r="O138" i="5"/>
  <c r="N138" i="5"/>
  <c r="M138" i="5"/>
  <c r="L138" i="5"/>
  <c r="K138" i="5"/>
  <c r="J138" i="5"/>
  <c r="H138" i="5"/>
  <c r="W137" i="5"/>
  <c r="V137" i="5"/>
  <c r="U137" i="5"/>
  <c r="T137" i="5"/>
  <c r="S137" i="5"/>
  <c r="O137" i="5"/>
  <c r="N137" i="5"/>
  <c r="M137" i="5"/>
  <c r="L137" i="5"/>
  <c r="K137" i="5"/>
  <c r="J137" i="5"/>
  <c r="H137" i="5"/>
  <c r="W136" i="5"/>
  <c r="V136" i="5"/>
  <c r="T136" i="5"/>
  <c r="S136" i="5"/>
  <c r="O136" i="5"/>
  <c r="N136" i="5"/>
  <c r="M136" i="5"/>
  <c r="L136" i="5"/>
  <c r="K136" i="5"/>
  <c r="J136" i="5"/>
  <c r="H136" i="5"/>
  <c r="X135" i="5"/>
  <c r="W135" i="5"/>
  <c r="S135" i="5"/>
  <c r="R135" i="5"/>
  <c r="O135" i="5"/>
  <c r="N135" i="5"/>
  <c r="M135" i="5"/>
  <c r="L135" i="5"/>
  <c r="K135" i="5"/>
  <c r="J135" i="5"/>
  <c r="H135" i="5"/>
  <c r="X134" i="5"/>
  <c r="W134" i="5"/>
  <c r="V134" i="5"/>
  <c r="U134" i="5"/>
  <c r="T134" i="5"/>
  <c r="S134" i="5"/>
  <c r="R134" i="5"/>
  <c r="O134" i="5"/>
  <c r="N134" i="5"/>
  <c r="M134" i="5"/>
  <c r="L134" i="5"/>
  <c r="K134" i="5"/>
  <c r="J134" i="5"/>
  <c r="H134" i="5"/>
  <c r="B132" i="5"/>
  <c r="C132" i="5"/>
  <c r="D132" i="5"/>
  <c r="E132" i="5"/>
  <c r="F132" i="5"/>
  <c r="G132" i="5"/>
  <c r="H132" i="5"/>
  <c r="B123" i="5"/>
  <c r="B124" i="5"/>
  <c r="B125" i="5"/>
  <c r="B126" i="5"/>
  <c r="B128" i="5"/>
  <c r="B129" i="5"/>
  <c r="B130" i="5"/>
  <c r="B131" i="5"/>
  <c r="C123" i="5"/>
  <c r="C124" i="5"/>
  <c r="C125" i="5"/>
  <c r="C126" i="5"/>
  <c r="C128" i="5"/>
  <c r="C129" i="5"/>
  <c r="C130" i="5"/>
  <c r="C131" i="5"/>
  <c r="D123" i="5"/>
  <c r="D124" i="5"/>
  <c r="D125" i="5"/>
  <c r="D126" i="5"/>
  <c r="D128" i="5"/>
  <c r="D129" i="5"/>
  <c r="D130" i="5"/>
  <c r="D131" i="5"/>
  <c r="E123" i="5"/>
  <c r="E124" i="5"/>
  <c r="E125" i="5"/>
  <c r="E126" i="5"/>
  <c r="E128" i="5"/>
  <c r="E129" i="5"/>
  <c r="E130" i="5"/>
  <c r="E131" i="5"/>
  <c r="F123" i="5"/>
  <c r="F124" i="5"/>
  <c r="F125" i="5"/>
  <c r="F126" i="5"/>
  <c r="F128" i="5"/>
  <c r="F129" i="5"/>
  <c r="F130" i="5"/>
  <c r="F131" i="5"/>
  <c r="G123" i="5"/>
  <c r="G124" i="5"/>
  <c r="G125" i="5"/>
  <c r="G126" i="5"/>
  <c r="G128" i="5"/>
  <c r="G129" i="5"/>
  <c r="G130" i="5"/>
  <c r="G131" i="5"/>
  <c r="H131" i="5"/>
  <c r="H130" i="5"/>
  <c r="H129" i="5"/>
  <c r="H128" i="5"/>
  <c r="H127" i="5"/>
  <c r="H126" i="5"/>
  <c r="H125" i="5"/>
  <c r="H124" i="5"/>
  <c r="H123" i="5"/>
  <c r="X121" i="5"/>
  <c r="W121" i="5"/>
  <c r="V121" i="5"/>
  <c r="U121" i="5"/>
  <c r="T121" i="5"/>
  <c r="S121" i="5"/>
  <c r="R121" i="5"/>
  <c r="O121" i="5"/>
  <c r="N121" i="5"/>
  <c r="M121" i="5"/>
  <c r="L121" i="5"/>
  <c r="K121" i="5"/>
  <c r="J121" i="5"/>
  <c r="H121" i="5"/>
  <c r="X120" i="5"/>
  <c r="W120" i="5"/>
  <c r="V120" i="5"/>
  <c r="U120" i="5"/>
  <c r="T120" i="5"/>
  <c r="S120" i="5"/>
  <c r="H120" i="5"/>
  <c r="X119" i="5"/>
  <c r="W119" i="5"/>
  <c r="V119" i="5"/>
  <c r="U119" i="5"/>
  <c r="T119" i="5"/>
  <c r="S119" i="5"/>
  <c r="R119" i="5"/>
  <c r="H119" i="5"/>
  <c r="X118" i="5"/>
  <c r="W118" i="5"/>
  <c r="V118" i="5"/>
  <c r="U118" i="5"/>
  <c r="T118" i="5"/>
  <c r="S118" i="5"/>
  <c r="R118" i="5"/>
  <c r="H118" i="5"/>
  <c r="X117" i="5"/>
  <c r="W117" i="5"/>
  <c r="V117" i="5"/>
  <c r="U117" i="5"/>
  <c r="T117" i="5"/>
  <c r="S117" i="5"/>
  <c r="R117" i="5"/>
  <c r="H117" i="5"/>
  <c r="X116" i="5"/>
  <c r="W116" i="5"/>
  <c r="V116" i="5"/>
  <c r="U116" i="5"/>
  <c r="T116" i="5"/>
  <c r="S116" i="5"/>
  <c r="R116" i="5"/>
  <c r="H116" i="5"/>
  <c r="H115" i="5"/>
  <c r="X114" i="5"/>
  <c r="W114" i="5"/>
  <c r="V114" i="5"/>
  <c r="U114" i="5"/>
  <c r="T114" i="5"/>
  <c r="S114" i="5"/>
  <c r="R114" i="5"/>
  <c r="H114" i="5"/>
  <c r="X113" i="5"/>
  <c r="W113" i="5"/>
  <c r="V113" i="5"/>
  <c r="U113" i="5"/>
  <c r="T113" i="5"/>
  <c r="S113" i="5"/>
  <c r="R113" i="5"/>
  <c r="H113" i="5"/>
  <c r="U112" i="5"/>
  <c r="T112" i="5"/>
  <c r="S112" i="5"/>
  <c r="H112" i="5"/>
  <c r="T111" i="5"/>
  <c r="S111" i="5"/>
  <c r="H111" i="5"/>
  <c r="W110" i="5"/>
  <c r="V110" i="5"/>
  <c r="U110" i="5"/>
  <c r="T110" i="5"/>
  <c r="S110" i="5"/>
  <c r="H110" i="5"/>
  <c r="X109" i="5"/>
  <c r="W109" i="5"/>
  <c r="V109" i="5"/>
  <c r="U109" i="5"/>
  <c r="S109" i="5"/>
  <c r="R109" i="5"/>
  <c r="H109" i="5"/>
  <c r="X108" i="5"/>
  <c r="W108" i="5"/>
  <c r="V108" i="5"/>
  <c r="U108" i="5"/>
  <c r="T108" i="5"/>
  <c r="S108" i="5"/>
  <c r="R108" i="5"/>
  <c r="H108" i="5"/>
  <c r="X107" i="5"/>
  <c r="W107" i="5"/>
  <c r="V107" i="5"/>
  <c r="U107" i="5"/>
  <c r="T107" i="5"/>
  <c r="S107" i="5"/>
  <c r="R107" i="5"/>
  <c r="H107" i="5"/>
  <c r="X106" i="5"/>
  <c r="W106" i="5"/>
  <c r="V106" i="5"/>
  <c r="U106" i="5"/>
  <c r="T106" i="5"/>
  <c r="S106" i="5"/>
  <c r="R106" i="5"/>
  <c r="H106" i="5"/>
  <c r="X105" i="5"/>
  <c r="W105" i="5"/>
  <c r="V105" i="5"/>
  <c r="U105" i="5"/>
  <c r="T105" i="5"/>
  <c r="S105" i="5"/>
  <c r="R105" i="5"/>
  <c r="H105" i="5"/>
  <c r="T104" i="5"/>
  <c r="S104" i="5"/>
  <c r="H104" i="5"/>
  <c r="X103" i="5"/>
  <c r="W103" i="5"/>
  <c r="V103" i="5"/>
  <c r="U103" i="5"/>
  <c r="T103" i="5"/>
  <c r="S103" i="5"/>
  <c r="R103" i="5"/>
  <c r="H103" i="5"/>
  <c r="X102" i="5"/>
  <c r="W102" i="5"/>
  <c r="V102" i="5"/>
  <c r="U102" i="5"/>
  <c r="T102" i="5"/>
  <c r="S102" i="5"/>
  <c r="R102" i="5"/>
  <c r="H102" i="5"/>
  <c r="X101" i="5"/>
  <c r="W101" i="5"/>
  <c r="V101" i="5"/>
  <c r="U101" i="5"/>
  <c r="T101" i="5"/>
  <c r="S101" i="5"/>
  <c r="R101" i="5"/>
  <c r="H101" i="5"/>
  <c r="A100" i="5"/>
  <c r="A99" i="5"/>
  <c r="B97" i="5"/>
  <c r="R97" i="5"/>
  <c r="J97" i="5"/>
  <c r="A97" i="5"/>
  <c r="G62" i="5"/>
  <c r="G63" i="5"/>
  <c r="G64" i="5"/>
  <c r="G65" i="5"/>
  <c r="G68" i="5"/>
  <c r="G69" i="5"/>
  <c r="G92" i="5"/>
  <c r="G93" i="5"/>
  <c r="G94" i="5"/>
  <c r="G95" i="5"/>
  <c r="F62" i="5"/>
  <c r="F63" i="5"/>
  <c r="F64" i="5"/>
  <c r="F65" i="5"/>
  <c r="F68" i="5"/>
  <c r="F69" i="5"/>
  <c r="F92" i="5"/>
  <c r="F93" i="5"/>
  <c r="F94" i="5"/>
  <c r="F95" i="5"/>
  <c r="E62" i="5"/>
  <c r="E63" i="5"/>
  <c r="E64" i="5"/>
  <c r="E65" i="5"/>
  <c r="E68" i="5"/>
  <c r="E69" i="5"/>
  <c r="E92" i="5"/>
  <c r="E93" i="5"/>
  <c r="E94" i="5"/>
  <c r="E95" i="5"/>
  <c r="D62" i="5"/>
  <c r="D63" i="5"/>
  <c r="D64" i="5"/>
  <c r="D65" i="5"/>
  <c r="D68" i="5"/>
  <c r="D69" i="5"/>
  <c r="D92" i="5"/>
  <c r="D93" i="5"/>
  <c r="D94" i="5"/>
  <c r="D95" i="5"/>
  <c r="C62" i="5"/>
  <c r="C63" i="5"/>
  <c r="C64" i="5"/>
  <c r="C65" i="5"/>
  <c r="C68" i="5"/>
  <c r="C69" i="5"/>
  <c r="C92" i="5"/>
  <c r="C93" i="5"/>
  <c r="C94" i="5"/>
  <c r="C95" i="5"/>
  <c r="B62" i="5"/>
  <c r="B63" i="5"/>
  <c r="B64" i="5"/>
  <c r="B65" i="5"/>
  <c r="B68" i="5"/>
  <c r="B69" i="5"/>
  <c r="B92" i="5"/>
  <c r="B93" i="5"/>
  <c r="B94" i="5"/>
  <c r="B95" i="5"/>
  <c r="G89" i="5"/>
  <c r="G72" i="5"/>
  <c r="G74" i="5"/>
  <c r="G76" i="5"/>
  <c r="G85" i="5"/>
  <c r="G86" i="5"/>
  <c r="G87" i="5"/>
  <c r="G88" i="5"/>
  <c r="G90" i="5"/>
  <c r="F89" i="5"/>
  <c r="F72" i="5"/>
  <c r="F74" i="5"/>
  <c r="F76" i="5"/>
  <c r="F85" i="5"/>
  <c r="F86" i="5"/>
  <c r="F87" i="5"/>
  <c r="F88" i="5"/>
  <c r="F90" i="5"/>
  <c r="E89" i="5"/>
  <c r="E72" i="5"/>
  <c r="E74" i="5"/>
  <c r="E76" i="5"/>
  <c r="E85" i="5"/>
  <c r="E86" i="5"/>
  <c r="E87" i="5"/>
  <c r="E88" i="5"/>
  <c r="E90" i="5"/>
  <c r="D89" i="5"/>
  <c r="D72" i="5"/>
  <c r="D74" i="5"/>
  <c r="D76" i="5"/>
  <c r="D85" i="5"/>
  <c r="D86" i="5"/>
  <c r="D87" i="5"/>
  <c r="D88" i="5"/>
  <c r="D90" i="5"/>
  <c r="C89" i="5"/>
  <c r="C72" i="5"/>
  <c r="C74" i="5"/>
  <c r="C76" i="5"/>
  <c r="C85" i="5"/>
  <c r="C86" i="5"/>
  <c r="C87" i="5"/>
  <c r="C88" i="5"/>
  <c r="C90" i="5"/>
  <c r="B89" i="5"/>
  <c r="B72" i="5"/>
  <c r="B74" i="5"/>
  <c r="B76" i="5"/>
  <c r="B85" i="5"/>
  <c r="B86" i="5"/>
  <c r="B87" i="5"/>
  <c r="B88" i="5"/>
  <c r="B90" i="5"/>
  <c r="H73" i="5"/>
  <c r="H72" i="5"/>
  <c r="H82" i="5"/>
  <c r="G82" i="5"/>
  <c r="F82" i="5"/>
  <c r="E82" i="5"/>
  <c r="D82" i="5"/>
  <c r="C82" i="5"/>
  <c r="B82" i="5"/>
  <c r="X80" i="5"/>
  <c r="W80" i="5"/>
  <c r="V80" i="5"/>
  <c r="U80" i="5"/>
  <c r="T80" i="5"/>
  <c r="S80" i="5"/>
  <c r="R80" i="5"/>
  <c r="F79" i="5"/>
  <c r="G79" i="5"/>
  <c r="X79" i="5"/>
  <c r="E79" i="5"/>
  <c r="W79" i="5"/>
  <c r="D79" i="5"/>
  <c r="V79" i="5"/>
  <c r="C79" i="5"/>
  <c r="U79" i="5"/>
  <c r="B79" i="5"/>
  <c r="T79" i="5"/>
  <c r="S79" i="5"/>
  <c r="R79" i="5"/>
  <c r="X78" i="5"/>
  <c r="W78" i="5"/>
  <c r="V78" i="5"/>
  <c r="U78" i="5"/>
  <c r="T78" i="5"/>
  <c r="S78" i="5"/>
  <c r="R78" i="5"/>
  <c r="G77" i="5"/>
  <c r="F77" i="5"/>
  <c r="E77" i="5"/>
  <c r="D77" i="5"/>
  <c r="C77" i="5"/>
  <c r="B77" i="5"/>
  <c r="X76" i="5"/>
  <c r="W76" i="5"/>
  <c r="V76" i="5"/>
  <c r="U76" i="5"/>
  <c r="T76" i="5"/>
  <c r="S76" i="5"/>
  <c r="R76" i="5"/>
  <c r="H76" i="5"/>
  <c r="H60" i="5"/>
  <c r="P76" i="5"/>
  <c r="O76" i="5"/>
  <c r="N76" i="5"/>
  <c r="M76" i="5"/>
  <c r="L76" i="5"/>
  <c r="K76" i="5"/>
  <c r="J76" i="5"/>
  <c r="X75" i="5"/>
  <c r="W75" i="5"/>
  <c r="V75" i="5"/>
  <c r="U75" i="5"/>
  <c r="T75" i="5"/>
  <c r="S75" i="5"/>
  <c r="H75" i="5"/>
  <c r="P75" i="5"/>
  <c r="O75" i="5"/>
  <c r="N75" i="5"/>
  <c r="M75" i="5"/>
  <c r="L75" i="5"/>
  <c r="K75" i="5"/>
  <c r="J75" i="5"/>
  <c r="X74" i="5"/>
  <c r="W74" i="5"/>
  <c r="V74" i="5"/>
  <c r="U74" i="5"/>
  <c r="T74" i="5"/>
  <c r="S74" i="5"/>
  <c r="R74" i="5"/>
  <c r="H74" i="5"/>
  <c r="P74" i="5"/>
  <c r="O74" i="5"/>
  <c r="N74" i="5"/>
  <c r="M74" i="5"/>
  <c r="L74" i="5"/>
  <c r="K74" i="5"/>
  <c r="J74" i="5"/>
  <c r="X73" i="5"/>
  <c r="W73" i="5"/>
  <c r="V73" i="5"/>
  <c r="U73" i="5"/>
  <c r="T73" i="5"/>
  <c r="S73" i="5"/>
  <c r="P73" i="5"/>
  <c r="O73" i="5"/>
  <c r="N73" i="5"/>
  <c r="M73" i="5"/>
  <c r="L73" i="5"/>
  <c r="K73" i="5"/>
  <c r="J73" i="5"/>
  <c r="X72" i="5"/>
  <c r="W72" i="5"/>
  <c r="V72" i="5"/>
  <c r="U72" i="5"/>
  <c r="T72" i="5"/>
  <c r="S72" i="5"/>
  <c r="R72" i="5"/>
  <c r="P72" i="5"/>
  <c r="O72" i="5"/>
  <c r="N72" i="5"/>
  <c r="M72" i="5"/>
  <c r="L72" i="5"/>
  <c r="K72" i="5"/>
  <c r="J72" i="5"/>
  <c r="X71" i="5"/>
  <c r="W71" i="5"/>
  <c r="V71" i="5"/>
  <c r="U71" i="5"/>
  <c r="T71" i="5"/>
  <c r="S71" i="5"/>
  <c r="R71" i="5"/>
  <c r="H71" i="5"/>
  <c r="P71" i="5"/>
  <c r="O71" i="5"/>
  <c r="N71" i="5"/>
  <c r="M71" i="5"/>
  <c r="L71" i="5"/>
  <c r="K71" i="5"/>
  <c r="J71" i="5"/>
  <c r="X70" i="5"/>
  <c r="W70" i="5"/>
  <c r="V70" i="5"/>
  <c r="U70" i="5"/>
  <c r="T70" i="5"/>
  <c r="S70" i="5"/>
  <c r="R70" i="5"/>
  <c r="H70" i="5"/>
  <c r="P70" i="5"/>
  <c r="O70" i="5"/>
  <c r="N70" i="5"/>
  <c r="M70" i="5"/>
  <c r="L70" i="5"/>
  <c r="K70" i="5"/>
  <c r="J70" i="5"/>
  <c r="X69" i="5"/>
  <c r="W69" i="5"/>
  <c r="V69" i="5"/>
  <c r="U69" i="5"/>
  <c r="T69" i="5"/>
  <c r="S69" i="5"/>
  <c r="R69" i="5"/>
  <c r="H69" i="5"/>
  <c r="P69" i="5"/>
  <c r="O69" i="5"/>
  <c r="N69" i="5"/>
  <c r="M69" i="5"/>
  <c r="L69" i="5"/>
  <c r="K69" i="5"/>
  <c r="J69" i="5"/>
  <c r="X68" i="5"/>
  <c r="W68" i="5"/>
  <c r="V68" i="5"/>
  <c r="U68" i="5"/>
  <c r="T68" i="5"/>
  <c r="S68" i="5"/>
  <c r="R68" i="5"/>
  <c r="H68" i="5"/>
  <c r="P68" i="5"/>
  <c r="O68" i="5"/>
  <c r="N68" i="5"/>
  <c r="M68" i="5"/>
  <c r="L68" i="5"/>
  <c r="K68" i="5"/>
  <c r="J68" i="5"/>
  <c r="X67" i="5"/>
  <c r="W67" i="5"/>
  <c r="V67" i="5"/>
  <c r="U67" i="5"/>
  <c r="T67" i="5"/>
  <c r="S67" i="5"/>
  <c r="R67" i="5"/>
  <c r="H67" i="5"/>
  <c r="P67" i="5"/>
  <c r="O67" i="5"/>
  <c r="N67" i="5"/>
  <c r="M67" i="5"/>
  <c r="L67" i="5"/>
  <c r="K67" i="5"/>
  <c r="J67" i="5"/>
  <c r="W66" i="5"/>
  <c r="V66" i="5"/>
  <c r="U66" i="5"/>
  <c r="T66" i="5"/>
  <c r="S66" i="5"/>
  <c r="H66" i="5"/>
  <c r="P66" i="5"/>
  <c r="O66" i="5"/>
  <c r="N66" i="5"/>
  <c r="M66" i="5"/>
  <c r="L66" i="5"/>
  <c r="K66" i="5"/>
  <c r="J66" i="5"/>
  <c r="H65" i="5"/>
  <c r="P65" i="5"/>
  <c r="O65" i="5"/>
  <c r="N65" i="5"/>
  <c r="M65" i="5"/>
  <c r="L65" i="5"/>
  <c r="K65" i="5"/>
  <c r="J65" i="5"/>
  <c r="H64" i="5"/>
  <c r="P64" i="5"/>
  <c r="O64" i="5"/>
  <c r="N64" i="5"/>
  <c r="M64" i="5"/>
  <c r="L64" i="5"/>
  <c r="K64" i="5"/>
  <c r="J64" i="5"/>
  <c r="X63" i="5"/>
  <c r="W63" i="5"/>
  <c r="V63" i="5"/>
  <c r="U63" i="5"/>
  <c r="T63" i="5"/>
  <c r="S63" i="5"/>
  <c r="R63" i="5"/>
  <c r="H63" i="5"/>
  <c r="P63" i="5"/>
  <c r="O63" i="5"/>
  <c r="N63" i="5"/>
  <c r="M63" i="5"/>
  <c r="L63" i="5"/>
  <c r="K63" i="5"/>
  <c r="J63" i="5"/>
  <c r="X62" i="5"/>
  <c r="W62" i="5"/>
  <c r="V62" i="5"/>
  <c r="U62" i="5"/>
  <c r="T62" i="5"/>
  <c r="S62" i="5"/>
  <c r="R62" i="5"/>
  <c r="H62" i="5"/>
  <c r="P62" i="5"/>
  <c r="O62" i="5"/>
  <c r="N62" i="5"/>
  <c r="M62" i="5"/>
  <c r="L62" i="5"/>
  <c r="K62" i="5"/>
  <c r="J62" i="5"/>
  <c r="X61" i="5"/>
  <c r="W61" i="5"/>
  <c r="V61" i="5"/>
  <c r="U61" i="5"/>
  <c r="T61" i="5"/>
  <c r="S61" i="5"/>
  <c r="R61" i="5"/>
  <c r="H61" i="5"/>
  <c r="P61" i="5"/>
  <c r="O61" i="5"/>
  <c r="N61" i="5"/>
  <c r="M61" i="5"/>
  <c r="L61" i="5"/>
  <c r="K61" i="5"/>
  <c r="J61" i="5"/>
  <c r="X60" i="5"/>
  <c r="W60" i="5"/>
  <c r="V60" i="5"/>
  <c r="U60" i="5"/>
  <c r="T60" i="5"/>
  <c r="S60" i="5"/>
  <c r="R60" i="5"/>
  <c r="P60" i="5"/>
  <c r="O60" i="5"/>
  <c r="N60" i="5"/>
  <c r="M60" i="5"/>
  <c r="L60" i="5"/>
  <c r="K60" i="5"/>
  <c r="J60" i="5"/>
  <c r="A59" i="5"/>
  <c r="A58" i="5"/>
  <c r="B56" i="5"/>
  <c r="R56" i="5"/>
  <c r="J56" i="5"/>
  <c r="A56" i="5"/>
  <c r="B34" i="5"/>
  <c r="B54" i="5"/>
  <c r="C34" i="5"/>
  <c r="C54" i="5"/>
  <c r="B53" i="5"/>
  <c r="B52" i="5"/>
  <c r="D34" i="5"/>
  <c r="D54" i="5"/>
  <c r="C53" i="5"/>
  <c r="C52" i="5"/>
  <c r="E34" i="5"/>
  <c r="E54" i="5"/>
  <c r="D53" i="5"/>
  <c r="D52" i="5"/>
  <c r="F34" i="5"/>
  <c r="F54" i="5"/>
  <c r="E53" i="5"/>
  <c r="E52" i="5"/>
  <c r="G34" i="5"/>
  <c r="G54" i="5"/>
  <c r="F53" i="5"/>
  <c r="F52" i="5"/>
  <c r="G52" i="5"/>
  <c r="H52" i="5"/>
  <c r="H53" i="5"/>
  <c r="H54" i="5"/>
  <c r="B47" i="5"/>
  <c r="B49" i="5"/>
  <c r="B51" i="5"/>
  <c r="C47" i="5"/>
  <c r="C49" i="5"/>
  <c r="C51" i="5"/>
  <c r="D47" i="5"/>
  <c r="D49" i="5"/>
  <c r="D51" i="5"/>
  <c r="E47" i="5"/>
  <c r="E49" i="5"/>
  <c r="E51" i="5"/>
  <c r="F47" i="5"/>
  <c r="F49" i="5"/>
  <c r="F51" i="5"/>
  <c r="G47" i="5"/>
  <c r="G49" i="5"/>
  <c r="G51" i="5"/>
  <c r="H51" i="5"/>
  <c r="H50" i="5"/>
  <c r="H49" i="5"/>
  <c r="H48" i="5"/>
  <c r="H47" i="5"/>
  <c r="A46" i="5"/>
  <c r="A45" i="5"/>
  <c r="A43" i="5"/>
  <c r="G39" i="5"/>
  <c r="G41" i="5"/>
  <c r="F39" i="5"/>
  <c r="F41" i="5"/>
  <c r="E39" i="5"/>
  <c r="E41" i="5"/>
  <c r="D39" i="5"/>
  <c r="D41" i="5"/>
  <c r="C39" i="5"/>
  <c r="C41" i="5"/>
  <c r="B39" i="5"/>
  <c r="B41" i="5"/>
  <c r="G23" i="5"/>
  <c r="G26" i="5"/>
  <c r="G27" i="5"/>
  <c r="G28" i="5"/>
  <c r="G30" i="5"/>
  <c r="G32" i="5"/>
  <c r="G35" i="5"/>
  <c r="G36" i="5"/>
  <c r="F23" i="5"/>
  <c r="F26" i="5"/>
  <c r="F27" i="5"/>
  <c r="F28" i="5"/>
  <c r="F30" i="5"/>
  <c r="F32" i="5"/>
  <c r="F35" i="5"/>
  <c r="F36" i="5"/>
  <c r="E23" i="5"/>
  <c r="E26" i="5"/>
  <c r="E27" i="5"/>
  <c r="E28" i="5"/>
  <c r="E30" i="5"/>
  <c r="E32" i="5"/>
  <c r="E35" i="5"/>
  <c r="E36" i="5"/>
  <c r="D23" i="5"/>
  <c r="D26" i="5"/>
  <c r="D27" i="5"/>
  <c r="D28" i="5"/>
  <c r="D30" i="5"/>
  <c r="D32" i="5"/>
  <c r="D35" i="5"/>
  <c r="D36" i="5"/>
  <c r="C23" i="5"/>
  <c r="C26" i="5"/>
  <c r="C27" i="5"/>
  <c r="C28" i="5"/>
  <c r="C30" i="5"/>
  <c r="C32" i="5"/>
  <c r="C35" i="5"/>
  <c r="C36" i="5"/>
  <c r="B23" i="5"/>
  <c r="B26" i="5"/>
  <c r="B27" i="5"/>
  <c r="B28" i="5"/>
  <c r="B30" i="5"/>
  <c r="B32" i="5"/>
  <c r="B35" i="5"/>
  <c r="B36" i="5"/>
  <c r="X35" i="5"/>
  <c r="W35" i="5"/>
  <c r="V35" i="5"/>
  <c r="U35" i="5"/>
  <c r="T35" i="5"/>
  <c r="S35" i="5"/>
  <c r="R35" i="5"/>
  <c r="O35" i="5"/>
  <c r="N35" i="5"/>
  <c r="M35" i="5"/>
  <c r="L35" i="5"/>
  <c r="K35" i="5"/>
  <c r="J35" i="5"/>
  <c r="X34" i="5"/>
  <c r="W34" i="5"/>
  <c r="V34" i="5"/>
  <c r="U34" i="5"/>
  <c r="T34" i="5"/>
  <c r="S34" i="5"/>
  <c r="R34" i="5"/>
  <c r="O34" i="5"/>
  <c r="N34" i="5"/>
  <c r="M34" i="5"/>
  <c r="L34" i="5"/>
  <c r="K34" i="5"/>
  <c r="J34" i="5"/>
  <c r="X33" i="5"/>
  <c r="W33" i="5"/>
  <c r="T33" i="5"/>
  <c r="S33" i="5"/>
  <c r="R33" i="5"/>
  <c r="O33" i="5"/>
  <c r="N33" i="5"/>
  <c r="M33" i="5"/>
  <c r="L33" i="5"/>
  <c r="K33" i="5"/>
  <c r="J33" i="5"/>
  <c r="X32" i="5"/>
  <c r="W32" i="5"/>
  <c r="V32" i="5"/>
  <c r="U32" i="5"/>
  <c r="T32" i="5"/>
  <c r="S32" i="5"/>
  <c r="R32" i="5"/>
  <c r="O32" i="5"/>
  <c r="N32" i="5"/>
  <c r="M32" i="5"/>
  <c r="L32" i="5"/>
  <c r="K32" i="5"/>
  <c r="J32" i="5"/>
  <c r="X31" i="5"/>
  <c r="W31" i="5"/>
  <c r="V31" i="5"/>
  <c r="U31" i="5"/>
  <c r="T31" i="5"/>
  <c r="S31" i="5"/>
  <c r="R31" i="5"/>
  <c r="O31" i="5"/>
  <c r="N31" i="5"/>
  <c r="M31" i="5"/>
  <c r="L31" i="5"/>
  <c r="K31" i="5"/>
  <c r="J31" i="5"/>
  <c r="X29" i="5"/>
  <c r="W29" i="5"/>
  <c r="V29" i="5"/>
  <c r="U29" i="5"/>
  <c r="T29" i="5"/>
  <c r="S29" i="5"/>
  <c r="R29" i="5"/>
  <c r="O29" i="5"/>
  <c r="N29" i="5"/>
  <c r="M29" i="5"/>
  <c r="L29" i="5"/>
  <c r="K29" i="5"/>
  <c r="J29" i="5"/>
  <c r="X28" i="5"/>
  <c r="W28" i="5"/>
  <c r="V28" i="5"/>
  <c r="U28" i="5"/>
  <c r="T28" i="5"/>
  <c r="S28" i="5"/>
  <c r="R28" i="5"/>
  <c r="O28" i="5"/>
  <c r="N28" i="5"/>
  <c r="M28" i="5"/>
  <c r="L28" i="5"/>
  <c r="K28" i="5"/>
  <c r="J28" i="5"/>
  <c r="X27" i="5"/>
  <c r="W27" i="5"/>
  <c r="V27" i="5"/>
  <c r="U27" i="5"/>
  <c r="T27" i="5"/>
  <c r="S27" i="5"/>
  <c r="R27" i="5"/>
  <c r="O27" i="5"/>
  <c r="N27" i="5"/>
  <c r="M27" i="5"/>
  <c r="L27" i="5"/>
  <c r="K27" i="5"/>
  <c r="J27" i="5"/>
  <c r="O25" i="5"/>
  <c r="N25" i="5"/>
  <c r="M25" i="5"/>
  <c r="L25" i="5"/>
  <c r="K25" i="5"/>
  <c r="J25" i="5"/>
  <c r="X24" i="5"/>
  <c r="W24" i="5"/>
  <c r="V24" i="5"/>
  <c r="U24" i="5"/>
  <c r="T24" i="5"/>
  <c r="S24" i="5"/>
  <c r="R24" i="5"/>
  <c r="O24" i="5"/>
  <c r="N24" i="5"/>
  <c r="M24" i="5"/>
  <c r="L24" i="5"/>
  <c r="K24" i="5"/>
  <c r="J24" i="5"/>
  <c r="X23" i="5"/>
  <c r="W23" i="5"/>
  <c r="V23" i="5"/>
  <c r="U23" i="5"/>
  <c r="T23" i="5"/>
  <c r="S23" i="5"/>
  <c r="R23" i="5"/>
  <c r="O23" i="5"/>
  <c r="N23" i="5"/>
  <c r="M23" i="5"/>
  <c r="L23" i="5"/>
  <c r="K23" i="5"/>
  <c r="J23" i="5"/>
  <c r="X21" i="5"/>
  <c r="W21" i="5"/>
  <c r="V21" i="5"/>
  <c r="U21" i="5"/>
  <c r="T21" i="5"/>
  <c r="S21" i="5"/>
  <c r="R21" i="5"/>
  <c r="O21" i="5"/>
  <c r="N21" i="5"/>
  <c r="M21" i="5"/>
  <c r="L21" i="5"/>
  <c r="K21" i="5"/>
  <c r="J21" i="5"/>
  <c r="X20" i="5"/>
  <c r="W20" i="5"/>
  <c r="V20" i="5"/>
  <c r="U20" i="5"/>
  <c r="T20" i="5"/>
  <c r="S20" i="5"/>
  <c r="R20" i="5"/>
  <c r="O20" i="5"/>
  <c r="N20" i="5"/>
  <c r="M20" i="5"/>
  <c r="L20" i="5"/>
  <c r="K20" i="5"/>
  <c r="J20" i="5"/>
  <c r="X19" i="5"/>
  <c r="W19" i="5"/>
  <c r="V19" i="5"/>
  <c r="U19" i="5"/>
  <c r="T19" i="5"/>
  <c r="S19" i="5"/>
  <c r="R19" i="5"/>
  <c r="O19" i="5"/>
  <c r="N19" i="5"/>
  <c r="M19" i="5"/>
  <c r="L19" i="5"/>
  <c r="K19" i="5"/>
  <c r="J19" i="5"/>
  <c r="X17" i="5"/>
  <c r="W17" i="5"/>
  <c r="V17" i="5"/>
  <c r="U17" i="5"/>
  <c r="T17" i="5"/>
  <c r="S17" i="5"/>
  <c r="R17" i="5"/>
  <c r="O17" i="5"/>
  <c r="N17" i="5"/>
  <c r="M17" i="5"/>
  <c r="L17" i="5"/>
  <c r="K17" i="5"/>
  <c r="J17" i="5"/>
  <c r="X16" i="5"/>
  <c r="W16" i="5"/>
  <c r="V16" i="5"/>
  <c r="U16" i="5"/>
  <c r="T16" i="5"/>
  <c r="S16" i="5"/>
  <c r="R16" i="5"/>
  <c r="O16" i="5"/>
  <c r="N16" i="5"/>
  <c r="M16" i="5"/>
  <c r="L16" i="5"/>
  <c r="K16" i="5"/>
  <c r="J16" i="5"/>
  <c r="F15" i="5"/>
  <c r="G15" i="5"/>
  <c r="X15" i="5"/>
  <c r="E15" i="5"/>
  <c r="W15" i="5"/>
  <c r="D15" i="5"/>
  <c r="V15" i="5"/>
  <c r="C15" i="5"/>
  <c r="U15" i="5"/>
  <c r="B15" i="5"/>
  <c r="T15" i="5"/>
  <c r="S15" i="5"/>
  <c r="R15" i="5"/>
  <c r="O15" i="5"/>
  <c r="N15" i="5"/>
  <c r="M15" i="5"/>
  <c r="L15" i="5"/>
  <c r="K15" i="5"/>
  <c r="J15" i="5"/>
  <c r="X14" i="5"/>
  <c r="W14" i="5"/>
  <c r="V14" i="5"/>
  <c r="U14" i="5"/>
  <c r="T14" i="5"/>
  <c r="S14" i="5"/>
  <c r="R14" i="5"/>
  <c r="O14" i="5"/>
  <c r="N14" i="5"/>
  <c r="M14" i="5"/>
  <c r="L14" i="5"/>
  <c r="K14" i="5"/>
  <c r="J14" i="5"/>
  <c r="F13" i="5"/>
  <c r="G13" i="5"/>
  <c r="X13" i="5"/>
  <c r="E13" i="5"/>
  <c r="W13" i="5"/>
  <c r="D13" i="5"/>
  <c r="V13" i="5"/>
  <c r="C13" i="5"/>
  <c r="U13" i="5"/>
  <c r="B13" i="5"/>
  <c r="T13" i="5"/>
  <c r="S13" i="5"/>
  <c r="R13" i="5"/>
  <c r="O13" i="5"/>
  <c r="N13" i="5"/>
  <c r="M13" i="5"/>
  <c r="L13" i="5"/>
  <c r="K13" i="5"/>
  <c r="J13" i="5"/>
  <c r="F12" i="5"/>
  <c r="G12" i="5"/>
  <c r="X12" i="5"/>
  <c r="E12" i="5"/>
  <c r="W12" i="5"/>
  <c r="D12" i="5"/>
  <c r="V12" i="5"/>
  <c r="C12" i="5"/>
  <c r="U12" i="5"/>
  <c r="B12" i="5"/>
  <c r="T12" i="5"/>
  <c r="S12" i="5"/>
  <c r="R12" i="5"/>
  <c r="O12" i="5"/>
  <c r="N12" i="5"/>
  <c r="M12" i="5"/>
  <c r="L12" i="5"/>
  <c r="K12" i="5"/>
  <c r="J12" i="5"/>
  <c r="X11" i="5"/>
  <c r="W11" i="5"/>
  <c r="V11" i="5"/>
  <c r="U11" i="5"/>
  <c r="T11" i="5"/>
  <c r="S11" i="5"/>
  <c r="R11" i="5"/>
  <c r="O11" i="5"/>
  <c r="N11" i="5"/>
  <c r="M11" i="5"/>
  <c r="L11" i="5"/>
  <c r="K11" i="5"/>
  <c r="J11" i="5"/>
  <c r="X10" i="5"/>
  <c r="W10" i="5"/>
  <c r="V10" i="5"/>
  <c r="U10" i="5"/>
  <c r="T10" i="5"/>
  <c r="S10" i="5"/>
  <c r="R10" i="5"/>
  <c r="O10" i="5"/>
  <c r="N10" i="5"/>
  <c r="M10" i="5"/>
  <c r="L10" i="5"/>
  <c r="K10" i="5"/>
  <c r="J10" i="5"/>
  <c r="X9" i="5"/>
  <c r="W9" i="5"/>
  <c r="V9" i="5"/>
  <c r="U9" i="5"/>
  <c r="T9" i="5"/>
  <c r="S9" i="5"/>
  <c r="R9" i="5"/>
  <c r="O9" i="5"/>
  <c r="N9" i="5"/>
  <c r="M9" i="5"/>
  <c r="L9" i="5"/>
  <c r="K9" i="5"/>
  <c r="J9" i="5"/>
  <c r="X8" i="5"/>
  <c r="W8" i="5"/>
  <c r="V8" i="5"/>
  <c r="U8" i="5"/>
  <c r="T8" i="5"/>
  <c r="S8" i="5"/>
  <c r="R8" i="5"/>
  <c r="O8" i="5"/>
  <c r="N8" i="5"/>
  <c r="M8" i="5"/>
  <c r="L8" i="5"/>
  <c r="K8" i="5"/>
  <c r="J8" i="5"/>
  <c r="X6" i="5"/>
  <c r="W6" i="5"/>
  <c r="V6" i="5"/>
  <c r="U6" i="5"/>
  <c r="T6" i="5"/>
  <c r="S6" i="5"/>
  <c r="R6" i="5"/>
  <c r="O6" i="5"/>
  <c r="N6" i="5"/>
  <c r="M6" i="5"/>
  <c r="L6" i="5"/>
  <c r="K6" i="5"/>
  <c r="J6" i="5"/>
  <c r="R1" i="5"/>
  <c r="J1" i="5"/>
  <c r="I236" i="1"/>
  <c r="H232" i="1"/>
  <c r="H233" i="1"/>
  <c r="H234" i="1"/>
  <c r="H235" i="1"/>
  <c r="H236" i="1"/>
  <c r="G235" i="1"/>
  <c r="G233" i="1"/>
  <c r="G232" i="1"/>
  <c r="B234" i="1"/>
  <c r="B231" i="1"/>
  <c r="B227" i="1"/>
  <c r="B225" i="1"/>
  <c r="B224" i="1"/>
  <c r="A220" i="1"/>
  <c r="A218" i="1"/>
  <c r="B226" i="1"/>
  <c r="B228" i="1"/>
  <c r="D228" i="1"/>
  <c r="C237" i="1"/>
  <c r="B232" i="1"/>
  <c r="B233" i="1"/>
  <c r="G234" i="1"/>
  <c r="G236" i="1"/>
  <c r="B235" i="1"/>
  <c r="B236" i="1"/>
  <c r="B237" i="1"/>
  <c r="D237" i="1"/>
  <c r="D239" i="1"/>
  <c r="D240" i="1"/>
  <c r="B239" i="1"/>
  <c r="B240" i="1"/>
  <c r="C168" i="1"/>
  <c r="C169" i="1"/>
  <c r="C170" i="1"/>
  <c r="C180" i="1"/>
  <c r="C182" i="1"/>
  <c r="C171" i="1"/>
  <c r="C172" i="1"/>
  <c r="C173" i="1"/>
  <c r="C189" i="1"/>
  <c r="C209" i="1"/>
  <c r="D168" i="1"/>
  <c r="D169" i="1"/>
  <c r="D170" i="1"/>
  <c r="D180" i="1"/>
  <c r="D182" i="1"/>
  <c r="D171" i="1"/>
  <c r="D172" i="1"/>
  <c r="D173" i="1"/>
  <c r="D189" i="1"/>
  <c r="D209" i="1"/>
  <c r="E168" i="1"/>
  <c r="E169" i="1"/>
  <c r="E170" i="1"/>
  <c r="E180" i="1"/>
  <c r="E182" i="1"/>
  <c r="E171" i="1"/>
  <c r="E172" i="1"/>
  <c r="E173" i="1"/>
  <c r="E189" i="1"/>
  <c r="E209" i="1"/>
  <c r="F168" i="1"/>
  <c r="F169" i="1"/>
  <c r="F170" i="1"/>
  <c r="F180" i="1"/>
  <c r="F182" i="1"/>
  <c r="F171" i="1"/>
  <c r="F172" i="1"/>
  <c r="F173" i="1"/>
  <c r="F189" i="1"/>
  <c r="F209" i="1"/>
  <c r="G168" i="1"/>
  <c r="G169" i="1"/>
  <c r="G170" i="1"/>
  <c r="G180" i="1"/>
  <c r="G182" i="1"/>
  <c r="G171" i="1"/>
  <c r="G172" i="1"/>
  <c r="G173" i="1"/>
  <c r="G189" i="1"/>
  <c r="G209" i="1"/>
  <c r="H168" i="1"/>
  <c r="H169" i="1"/>
  <c r="H170" i="1"/>
  <c r="H180" i="1"/>
  <c r="H182" i="1"/>
  <c r="H171" i="1"/>
  <c r="H172" i="1"/>
  <c r="H173" i="1"/>
  <c r="H18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B168" i="1"/>
  <c r="B169" i="1"/>
  <c r="B170" i="1"/>
  <c r="B180" i="1"/>
  <c r="B182" i="1"/>
  <c r="B171" i="1"/>
  <c r="B172" i="1"/>
  <c r="B173" i="1"/>
  <c r="B189" i="1"/>
  <c r="B209" i="1"/>
  <c r="B211" i="1"/>
  <c r="B210" i="1"/>
  <c r="C200" i="1"/>
  <c r="C58" i="1"/>
  <c r="C62" i="1"/>
  <c r="C63" i="1"/>
  <c r="C66" i="1"/>
  <c r="C68" i="1"/>
  <c r="C70" i="1"/>
  <c r="C163" i="1"/>
  <c r="C181" i="1"/>
  <c r="C178" i="1"/>
  <c r="C174" i="1"/>
  <c r="C207" i="1"/>
  <c r="D200" i="1"/>
  <c r="D58" i="1"/>
  <c r="D62" i="1"/>
  <c r="D63" i="1"/>
  <c r="D66" i="1"/>
  <c r="D68" i="1"/>
  <c r="D70" i="1"/>
  <c r="D163" i="1"/>
  <c r="D181" i="1"/>
  <c r="D178" i="1"/>
  <c r="D174" i="1"/>
  <c r="D207" i="1"/>
  <c r="E200" i="1"/>
  <c r="E58" i="1"/>
  <c r="E62" i="1"/>
  <c r="E63" i="1"/>
  <c r="E66" i="1"/>
  <c r="E68" i="1"/>
  <c r="E70" i="1"/>
  <c r="E163" i="1"/>
  <c r="E181" i="1"/>
  <c r="E178" i="1"/>
  <c r="E174" i="1"/>
  <c r="E207" i="1"/>
  <c r="F200" i="1"/>
  <c r="F58" i="1"/>
  <c r="F62" i="1"/>
  <c r="F63" i="1"/>
  <c r="F66" i="1"/>
  <c r="F68" i="1"/>
  <c r="F70" i="1"/>
  <c r="F163" i="1"/>
  <c r="F181" i="1"/>
  <c r="F178" i="1"/>
  <c r="F174" i="1"/>
  <c r="F207" i="1"/>
  <c r="G200" i="1"/>
  <c r="G58" i="1"/>
  <c r="G62" i="1"/>
  <c r="G63" i="1"/>
  <c r="G66" i="1"/>
  <c r="G68" i="1"/>
  <c r="G70" i="1"/>
  <c r="G163" i="1"/>
  <c r="G181" i="1"/>
  <c r="G178" i="1"/>
  <c r="G174" i="1"/>
  <c r="G207" i="1"/>
  <c r="H200" i="1"/>
  <c r="H58" i="1"/>
  <c r="H62" i="1"/>
  <c r="H63" i="1"/>
  <c r="H66" i="1"/>
  <c r="H68" i="1"/>
  <c r="H70" i="1"/>
  <c r="H163" i="1"/>
  <c r="H181" i="1"/>
  <c r="H178" i="1"/>
  <c r="H74" i="1"/>
  <c r="H174" i="1"/>
  <c r="H207" i="1"/>
  <c r="I200" i="1"/>
  <c r="I58" i="1"/>
  <c r="I62" i="1"/>
  <c r="I63" i="1"/>
  <c r="I66" i="1"/>
  <c r="I68" i="1"/>
  <c r="I70" i="1"/>
  <c r="I163" i="1"/>
  <c r="I168" i="1"/>
  <c r="I169" i="1"/>
  <c r="I170" i="1"/>
  <c r="I181" i="1"/>
  <c r="I178" i="1"/>
  <c r="I180" i="1"/>
  <c r="I182" i="1"/>
  <c r="I171" i="1"/>
  <c r="I172" i="1"/>
  <c r="I173" i="1"/>
  <c r="I74" i="1"/>
  <c r="I174" i="1"/>
  <c r="I207" i="1"/>
  <c r="B200" i="1"/>
  <c r="B58" i="1"/>
  <c r="B62" i="1"/>
  <c r="B63" i="1"/>
  <c r="B66" i="1"/>
  <c r="B68" i="1"/>
  <c r="B70" i="1"/>
  <c r="B163" i="1"/>
  <c r="B181" i="1"/>
  <c r="B178" i="1"/>
  <c r="B174" i="1"/>
  <c r="B207" i="1"/>
  <c r="C48" i="1"/>
  <c r="C201" i="1"/>
  <c r="C202" i="1"/>
  <c r="C203" i="1"/>
  <c r="C204" i="1"/>
  <c r="C205" i="1"/>
  <c r="C188" i="1"/>
  <c r="C197" i="1"/>
  <c r="C206" i="1"/>
  <c r="D48" i="1"/>
  <c r="D201" i="1"/>
  <c r="D202" i="1"/>
  <c r="D203" i="1"/>
  <c r="D204" i="1"/>
  <c r="D205" i="1"/>
  <c r="D188" i="1"/>
  <c r="D197" i="1"/>
  <c r="D206" i="1"/>
  <c r="E48" i="1"/>
  <c r="E201" i="1"/>
  <c r="E202" i="1"/>
  <c r="E203" i="1"/>
  <c r="E204" i="1"/>
  <c r="E205" i="1"/>
  <c r="E188" i="1"/>
  <c r="E197" i="1"/>
  <c r="E206" i="1"/>
  <c r="F48" i="1"/>
  <c r="F201" i="1"/>
  <c r="F202" i="1"/>
  <c r="F203" i="1"/>
  <c r="F204" i="1"/>
  <c r="F205" i="1"/>
  <c r="F188" i="1"/>
  <c r="F197" i="1"/>
  <c r="F206" i="1"/>
  <c r="G48" i="1"/>
  <c r="G201" i="1"/>
  <c r="G202" i="1"/>
  <c r="G203" i="1"/>
  <c r="G204" i="1"/>
  <c r="G205" i="1"/>
  <c r="G188" i="1"/>
  <c r="G197" i="1"/>
  <c r="G206" i="1"/>
  <c r="H201" i="1"/>
  <c r="H202" i="1"/>
  <c r="H203" i="1"/>
  <c r="H204" i="1"/>
  <c r="H205" i="1"/>
  <c r="H188" i="1"/>
  <c r="H197" i="1"/>
  <c r="H206" i="1"/>
  <c r="I201" i="1"/>
  <c r="I202" i="1"/>
  <c r="I203" i="1"/>
  <c r="I204" i="1"/>
  <c r="I205" i="1"/>
  <c r="I188" i="1"/>
  <c r="I197" i="1"/>
  <c r="I206" i="1"/>
  <c r="B48" i="1"/>
  <c r="B201" i="1"/>
  <c r="B202" i="1"/>
  <c r="B203" i="1"/>
  <c r="B204" i="1"/>
  <c r="B205" i="1"/>
  <c r="B188" i="1"/>
  <c r="B197" i="1"/>
  <c r="B206" i="1"/>
  <c r="C186" i="1"/>
  <c r="C198" i="1"/>
  <c r="D186" i="1"/>
  <c r="D198" i="1"/>
  <c r="E186" i="1"/>
  <c r="E198" i="1"/>
  <c r="F186" i="1"/>
  <c r="F198" i="1"/>
  <c r="G186" i="1"/>
  <c r="G198" i="1"/>
  <c r="H186" i="1"/>
  <c r="H198" i="1"/>
  <c r="I186" i="1"/>
  <c r="I198" i="1"/>
  <c r="B186" i="1"/>
  <c r="B198" i="1"/>
  <c r="C187" i="1"/>
  <c r="C191" i="1"/>
  <c r="D187" i="1"/>
  <c r="D191" i="1"/>
  <c r="E187" i="1"/>
  <c r="E191" i="1"/>
  <c r="F187" i="1"/>
  <c r="F191" i="1"/>
  <c r="G187" i="1"/>
  <c r="G191" i="1"/>
  <c r="H187" i="1"/>
  <c r="H191" i="1"/>
  <c r="I187" i="1"/>
  <c r="I191" i="1"/>
  <c r="C192" i="1"/>
  <c r="D192" i="1"/>
  <c r="E192" i="1"/>
  <c r="F192" i="1"/>
  <c r="G192" i="1"/>
  <c r="H192" i="1"/>
  <c r="I192" i="1"/>
  <c r="C193" i="1"/>
  <c r="D193" i="1"/>
  <c r="E193" i="1"/>
  <c r="F193" i="1"/>
  <c r="G193" i="1"/>
  <c r="H193" i="1"/>
  <c r="I193" i="1"/>
  <c r="C194" i="1"/>
  <c r="D194" i="1"/>
  <c r="E194" i="1"/>
  <c r="F194" i="1"/>
  <c r="G194" i="1"/>
  <c r="H194" i="1"/>
  <c r="I189" i="1"/>
  <c r="I194" i="1"/>
  <c r="C195" i="1"/>
  <c r="D195" i="1"/>
  <c r="E195" i="1"/>
  <c r="F195" i="1"/>
  <c r="G195" i="1"/>
  <c r="H195" i="1"/>
  <c r="I195" i="1"/>
  <c r="B195" i="1"/>
  <c r="B194" i="1"/>
  <c r="B193" i="1"/>
  <c r="B187" i="1"/>
  <c r="B192" i="1"/>
  <c r="B191" i="1"/>
  <c r="I177" i="1"/>
  <c r="H177" i="1"/>
  <c r="C177" i="1"/>
  <c r="D177" i="1"/>
  <c r="E177" i="1"/>
  <c r="F177" i="1"/>
  <c r="G177" i="1"/>
  <c r="B177" i="1"/>
  <c r="A159" i="1"/>
  <c r="H137" i="1"/>
  <c r="I137" i="1"/>
  <c r="I128" i="1"/>
  <c r="I114" i="1"/>
  <c r="I83" i="1"/>
  <c r="I99" i="1"/>
  <c r="I104" i="1"/>
  <c r="I106" i="1"/>
  <c r="I130" i="1"/>
  <c r="I132" i="1"/>
  <c r="H131" i="1"/>
  <c r="H128" i="1"/>
  <c r="H114" i="1"/>
  <c r="H83" i="1"/>
  <c r="H99" i="1"/>
  <c r="H104" i="1"/>
  <c r="H106" i="1"/>
  <c r="H130" i="1"/>
  <c r="H132" i="1"/>
  <c r="G83" i="1"/>
  <c r="G99" i="1"/>
  <c r="G106" i="1"/>
  <c r="P126" i="1"/>
  <c r="F83" i="1"/>
  <c r="F99" i="1"/>
  <c r="F106" i="1"/>
  <c r="O126" i="1"/>
  <c r="E83" i="1"/>
  <c r="E99" i="1"/>
  <c r="E106" i="1"/>
  <c r="N126" i="1"/>
  <c r="D83" i="1"/>
  <c r="D99" i="1"/>
  <c r="D106" i="1"/>
  <c r="M126" i="1"/>
  <c r="C83" i="1"/>
  <c r="C99" i="1"/>
  <c r="C106" i="1"/>
  <c r="L126" i="1"/>
  <c r="B83" i="1"/>
  <c r="B99" i="1"/>
  <c r="B106" i="1"/>
  <c r="K126" i="1"/>
  <c r="P124" i="1"/>
  <c r="O124" i="1"/>
  <c r="N124" i="1"/>
  <c r="M124" i="1"/>
  <c r="L124" i="1"/>
  <c r="K124" i="1"/>
  <c r="P123" i="1"/>
  <c r="O123" i="1"/>
  <c r="N123" i="1"/>
  <c r="M123" i="1"/>
  <c r="L123" i="1"/>
  <c r="K123" i="1"/>
  <c r="C72" i="1"/>
  <c r="D72" i="1"/>
  <c r="E72" i="1"/>
  <c r="F72" i="1"/>
  <c r="G72" i="1"/>
  <c r="B72" i="1"/>
  <c r="I72" i="1"/>
  <c r="I75" i="1"/>
  <c r="H72" i="1"/>
  <c r="H75" i="1"/>
  <c r="I47" i="1"/>
  <c r="H47" i="1"/>
  <c r="I43" i="1"/>
  <c r="I34" i="1"/>
  <c r="I44" i="1"/>
  <c r="H43" i="1"/>
  <c r="H34" i="1"/>
  <c r="H44" i="1"/>
  <c r="H18" i="1"/>
  <c r="H45" i="1"/>
  <c r="I18" i="1"/>
  <c r="I45" i="1"/>
  <c r="G13" i="1"/>
  <c r="G18" i="1"/>
  <c r="P36" i="1"/>
  <c r="F13" i="1"/>
  <c r="F18" i="1"/>
  <c r="O36" i="1"/>
  <c r="E13" i="1"/>
  <c r="E18" i="1"/>
  <c r="N36" i="1"/>
  <c r="D13" i="1"/>
  <c r="D18" i="1"/>
  <c r="M36" i="1"/>
  <c r="C13" i="1"/>
  <c r="C18" i="1"/>
  <c r="L36" i="1"/>
  <c r="B13" i="1"/>
  <c r="B18" i="1"/>
  <c r="K36" i="1"/>
  <c r="B75" i="4"/>
  <c r="C70" i="4"/>
  <c r="C71" i="4"/>
  <c r="C72" i="4"/>
  <c r="C73" i="4"/>
  <c r="C74" i="4"/>
  <c r="A70" i="4"/>
  <c r="A71" i="4"/>
  <c r="A72" i="4"/>
  <c r="A73" i="4"/>
  <c r="A74" i="4"/>
  <c r="A69" i="4"/>
  <c r="B52" i="4"/>
  <c r="C52" i="4"/>
  <c r="D52" i="4"/>
  <c r="C51" i="4"/>
  <c r="D51" i="4"/>
  <c r="D57" i="4"/>
  <c r="C58" i="4"/>
  <c r="B58" i="4"/>
  <c r="D58" i="4"/>
  <c r="C59" i="4"/>
  <c r="B59" i="4"/>
  <c r="D59" i="4"/>
  <c r="E17" i="4"/>
  <c r="E22" i="4"/>
  <c r="C54" i="4"/>
  <c r="C60" i="4"/>
  <c r="B54" i="4"/>
  <c r="B60" i="4"/>
  <c r="D60" i="4"/>
  <c r="C61" i="4"/>
  <c r="B61" i="4"/>
  <c r="D61" i="4"/>
  <c r="D56" i="4"/>
  <c r="C50" i="4"/>
  <c r="D50" i="4"/>
  <c r="C53" i="4"/>
  <c r="D53" i="4"/>
  <c r="D54" i="4"/>
  <c r="C49" i="4"/>
  <c r="D49" i="4"/>
  <c r="A44" i="4"/>
  <c r="E28" i="4"/>
  <c r="E29" i="4"/>
  <c r="E31" i="4"/>
  <c r="E32" i="4"/>
  <c r="E33" i="4"/>
  <c r="E36" i="4"/>
  <c r="E38" i="4"/>
  <c r="F36" i="4"/>
  <c r="F38" i="4"/>
  <c r="F40" i="4"/>
  <c r="F37" i="4"/>
  <c r="C25" i="4"/>
  <c r="D26" i="4"/>
  <c r="D24" i="4"/>
  <c r="D25" i="4"/>
  <c r="B25" i="4"/>
  <c r="C29" i="4"/>
  <c r="C32" i="4"/>
  <c r="B29" i="4"/>
  <c r="D29" i="4"/>
  <c r="D30" i="4"/>
  <c r="D31" i="4"/>
  <c r="D32" i="4"/>
  <c r="C22" i="4"/>
  <c r="C33" i="4"/>
  <c r="D17" i="4"/>
  <c r="D18" i="4"/>
  <c r="D19" i="4"/>
  <c r="D20" i="4"/>
  <c r="D21" i="4"/>
  <c r="D22" i="4"/>
  <c r="D33" i="4"/>
  <c r="B32" i="4"/>
  <c r="B22" i="4"/>
  <c r="B33" i="4"/>
  <c r="C28" i="4"/>
  <c r="B28" i="4"/>
  <c r="D27" i="4"/>
  <c r="D28" i="4"/>
  <c r="D14" i="4"/>
  <c r="D15" i="4"/>
  <c r="B16" i="4"/>
  <c r="C16" i="4"/>
  <c r="D16" i="4"/>
  <c r="D13" i="4"/>
  <c r="C218" i="2"/>
  <c r="D218" i="2"/>
  <c r="E218" i="2"/>
  <c r="F218" i="2"/>
  <c r="G218" i="2"/>
  <c r="C219" i="2"/>
  <c r="D219" i="2"/>
  <c r="E219" i="2"/>
  <c r="F219" i="2"/>
  <c r="G219" i="2"/>
  <c r="B218" i="2"/>
  <c r="B219" i="2"/>
  <c r="C30" i="2"/>
  <c r="D30" i="2"/>
  <c r="E30" i="2"/>
  <c r="F30" i="2"/>
  <c r="G30" i="2"/>
  <c r="B30" i="2"/>
  <c r="C211" i="2"/>
  <c r="D211" i="2"/>
  <c r="E211" i="2"/>
  <c r="F211" i="2"/>
  <c r="G211" i="2"/>
  <c r="C212" i="2"/>
  <c r="D212" i="2"/>
  <c r="E212" i="2"/>
  <c r="F212" i="2"/>
  <c r="G212" i="2"/>
  <c r="B211" i="2"/>
  <c r="B212" i="2"/>
  <c r="C26" i="2"/>
  <c r="D26" i="2"/>
  <c r="E26" i="2"/>
  <c r="F26" i="2"/>
  <c r="G26" i="2"/>
  <c r="B26" i="2"/>
  <c r="C199" i="2"/>
  <c r="C200" i="2"/>
  <c r="C20" i="2"/>
  <c r="D199" i="2"/>
  <c r="D200" i="2"/>
  <c r="D20" i="2"/>
  <c r="E199" i="2"/>
  <c r="E200" i="2"/>
  <c r="E20" i="2"/>
  <c r="F199" i="2"/>
  <c r="F200" i="2"/>
  <c r="F20" i="2"/>
  <c r="G199" i="2"/>
  <c r="G200" i="2"/>
  <c r="G20" i="2"/>
  <c r="B199" i="2"/>
  <c r="B200" i="2"/>
  <c r="B20" i="2"/>
  <c r="C18" i="2"/>
  <c r="D18" i="2"/>
  <c r="E18" i="2"/>
  <c r="F18" i="2"/>
  <c r="G18" i="2"/>
  <c r="B18" i="2"/>
  <c r="B12" i="2"/>
  <c r="B192" i="2"/>
  <c r="B10" i="2"/>
  <c r="B11" i="2"/>
  <c r="B196" i="2"/>
  <c r="B19" i="2"/>
  <c r="B21" i="2"/>
  <c r="J12" i="2"/>
  <c r="C12" i="2"/>
  <c r="C192" i="2"/>
  <c r="C10" i="2"/>
  <c r="C11" i="2"/>
  <c r="C196" i="2"/>
  <c r="C19" i="2"/>
  <c r="C21" i="2"/>
  <c r="K12" i="2"/>
  <c r="D12" i="2"/>
  <c r="D192" i="2"/>
  <c r="D10" i="2"/>
  <c r="D11" i="2"/>
  <c r="D196" i="2"/>
  <c r="D19" i="2"/>
  <c r="D21" i="2"/>
  <c r="L12" i="2"/>
  <c r="E12" i="2"/>
  <c r="E192" i="2"/>
  <c r="E10" i="2"/>
  <c r="E11" i="2"/>
  <c r="E196" i="2"/>
  <c r="E19" i="2"/>
  <c r="E21" i="2"/>
  <c r="M12" i="2"/>
  <c r="F12" i="2"/>
  <c r="F192" i="2"/>
  <c r="F10" i="2"/>
  <c r="F11" i="2"/>
  <c r="F196" i="2"/>
  <c r="F19" i="2"/>
  <c r="F21" i="2"/>
  <c r="N12" i="2"/>
  <c r="G12" i="2"/>
  <c r="G192" i="2"/>
  <c r="G10" i="2"/>
  <c r="G11" i="2"/>
  <c r="G196" i="2"/>
  <c r="G19" i="2"/>
  <c r="G21" i="2"/>
  <c r="O12" i="2"/>
  <c r="R12" i="2"/>
  <c r="T12" i="2"/>
  <c r="U12" i="2"/>
  <c r="V12" i="2"/>
  <c r="W12" i="2"/>
  <c r="X12" i="2"/>
  <c r="S12" i="2"/>
  <c r="B13" i="2"/>
  <c r="J13" i="2"/>
  <c r="C13" i="2"/>
  <c r="K13" i="2"/>
  <c r="D13" i="2"/>
  <c r="L13" i="2"/>
  <c r="E13" i="2"/>
  <c r="M13" i="2"/>
  <c r="F13" i="2"/>
  <c r="N13" i="2"/>
  <c r="G13" i="2"/>
  <c r="O13" i="2"/>
  <c r="R13" i="2"/>
  <c r="T13" i="2"/>
  <c r="U13" i="2"/>
  <c r="V13" i="2"/>
  <c r="W13" i="2"/>
  <c r="X13" i="2"/>
  <c r="S13" i="2"/>
  <c r="B175" i="2"/>
  <c r="B173" i="2"/>
  <c r="B172" i="2"/>
  <c r="B14" i="2"/>
  <c r="J14" i="2"/>
  <c r="C175" i="2"/>
  <c r="C173" i="2"/>
  <c r="C172" i="2"/>
  <c r="C14" i="2"/>
  <c r="K14" i="2"/>
  <c r="D175" i="2"/>
  <c r="D173" i="2"/>
  <c r="D172" i="2"/>
  <c r="D14" i="2"/>
  <c r="L14" i="2"/>
  <c r="E175" i="2"/>
  <c r="E173" i="2"/>
  <c r="E172" i="2"/>
  <c r="E14" i="2"/>
  <c r="M14" i="2"/>
  <c r="F175" i="2"/>
  <c r="F173" i="2"/>
  <c r="F172" i="2"/>
  <c r="F14" i="2"/>
  <c r="N14" i="2"/>
  <c r="G175" i="2"/>
  <c r="G173" i="2"/>
  <c r="G172" i="2"/>
  <c r="G14" i="2"/>
  <c r="O14" i="2"/>
  <c r="R14" i="2"/>
  <c r="T14" i="2"/>
  <c r="U14" i="2"/>
  <c r="V14" i="2"/>
  <c r="W14" i="2"/>
  <c r="X14" i="2"/>
  <c r="S14" i="2"/>
  <c r="B15" i="2"/>
  <c r="J15" i="2"/>
  <c r="C15" i="2"/>
  <c r="K15" i="2"/>
  <c r="D15" i="2"/>
  <c r="L15" i="2"/>
  <c r="E15" i="2"/>
  <c r="M15" i="2"/>
  <c r="F15" i="2"/>
  <c r="N15" i="2"/>
  <c r="G15" i="2"/>
  <c r="O15" i="2"/>
  <c r="R15" i="2"/>
  <c r="T15" i="2"/>
  <c r="U15" i="2"/>
  <c r="V15" i="2"/>
  <c r="W15" i="2"/>
  <c r="X15" i="2"/>
  <c r="S15" i="2"/>
  <c r="B16" i="2"/>
  <c r="J16" i="2"/>
  <c r="C16" i="2"/>
  <c r="K16" i="2"/>
  <c r="D16" i="2"/>
  <c r="L16" i="2"/>
  <c r="E16" i="2"/>
  <c r="M16" i="2"/>
  <c r="F16" i="2"/>
  <c r="N16" i="2"/>
  <c r="G16" i="2"/>
  <c r="O16" i="2"/>
  <c r="R16" i="2"/>
  <c r="T16" i="2"/>
  <c r="U16" i="2"/>
  <c r="V16" i="2"/>
  <c r="W16" i="2"/>
  <c r="X16" i="2"/>
  <c r="S16" i="2"/>
  <c r="B230" i="2"/>
  <c r="J230" i="2"/>
  <c r="C230" i="2"/>
  <c r="K230" i="2"/>
  <c r="D230" i="2"/>
  <c r="L230" i="2"/>
  <c r="E230" i="2"/>
  <c r="M230" i="2"/>
  <c r="F230" i="2"/>
  <c r="N230" i="2"/>
  <c r="G230" i="2"/>
  <c r="O230" i="2"/>
  <c r="R230" i="2"/>
  <c r="T230" i="2"/>
  <c r="U230" i="2"/>
  <c r="V230" i="2"/>
  <c r="W230" i="2"/>
  <c r="X230" i="2"/>
  <c r="S230" i="2"/>
  <c r="B231" i="2"/>
  <c r="J231" i="2"/>
  <c r="C231" i="2"/>
  <c r="K231" i="2"/>
  <c r="D231" i="2"/>
  <c r="L231" i="2"/>
  <c r="E231" i="2"/>
  <c r="M231" i="2"/>
  <c r="F231" i="2"/>
  <c r="N231" i="2"/>
  <c r="G231" i="2"/>
  <c r="O231" i="2"/>
  <c r="R231" i="2"/>
  <c r="T231" i="2"/>
  <c r="U231" i="2"/>
  <c r="V231" i="2"/>
  <c r="W231" i="2"/>
  <c r="X231" i="2"/>
  <c r="S231" i="2"/>
  <c r="B232" i="2"/>
  <c r="J232" i="2"/>
  <c r="C232" i="2"/>
  <c r="K232" i="2"/>
  <c r="D232" i="2"/>
  <c r="L232" i="2"/>
  <c r="E232" i="2"/>
  <c r="M232" i="2"/>
  <c r="F232" i="2"/>
  <c r="N232" i="2"/>
  <c r="G232" i="2"/>
  <c r="O232" i="2"/>
  <c r="R232" i="2"/>
  <c r="T232" i="2"/>
  <c r="U232" i="2"/>
  <c r="V232" i="2"/>
  <c r="W232" i="2"/>
  <c r="X232" i="2"/>
  <c r="S232" i="2"/>
  <c r="B101" i="2"/>
  <c r="B114" i="2"/>
  <c r="B121" i="2"/>
  <c r="C101" i="2"/>
  <c r="C114" i="2"/>
  <c r="C121" i="2"/>
  <c r="D101" i="2"/>
  <c r="D114" i="2"/>
  <c r="D121" i="2"/>
  <c r="E101" i="2"/>
  <c r="E114" i="2"/>
  <c r="E121" i="2"/>
  <c r="F101" i="2"/>
  <c r="F114" i="2"/>
  <c r="F121" i="2"/>
  <c r="G101" i="2"/>
  <c r="G114" i="2"/>
  <c r="G121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B128" i="2"/>
  <c r="C128" i="2"/>
  <c r="D128" i="2"/>
  <c r="E128" i="2"/>
  <c r="F128" i="2"/>
  <c r="G128" i="2"/>
  <c r="H128" i="2"/>
  <c r="B129" i="2"/>
  <c r="C129" i="2"/>
  <c r="D129" i="2"/>
  <c r="E129" i="2"/>
  <c r="F129" i="2"/>
  <c r="G129" i="2"/>
  <c r="H129" i="2"/>
  <c r="H155" i="2"/>
  <c r="B149" i="2"/>
  <c r="B152" i="2"/>
  <c r="B140" i="2"/>
  <c r="B154" i="2"/>
  <c r="C149" i="2"/>
  <c r="C152" i="2"/>
  <c r="C140" i="2"/>
  <c r="C154" i="2"/>
  <c r="D149" i="2"/>
  <c r="D152" i="2"/>
  <c r="D140" i="2"/>
  <c r="D154" i="2"/>
  <c r="E149" i="2"/>
  <c r="E152" i="2"/>
  <c r="E140" i="2"/>
  <c r="E154" i="2"/>
  <c r="F149" i="2"/>
  <c r="F152" i="2"/>
  <c r="F140" i="2"/>
  <c r="F154" i="2"/>
  <c r="G149" i="2"/>
  <c r="G152" i="2"/>
  <c r="G140" i="2"/>
  <c r="G154" i="2"/>
  <c r="H154" i="2"/>
  <c r="H156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0" i="2"/>
  <c r="H139" i="2"/>
  <c r="H138" i="2"/>
  <c r="H137" i="2"/>
  <c r="H136" i="2"/>
  <c r="H135" i="2"/>
  <c r="H134" i="2"/>
  <c r="B124" i="2"/>
  <c r="C124" i="2"/>
  <c r="D124" i="2"/>
  <c r="E124" i="2"/>
  <c r="F124" i="2"/>
  <c r="G124" i="2"/>
  <c r="H124" i="2"/>
  <c r="B123" i="2"/>
  <c r="B125" i="2"/>
  <c r="C123" i="2"/>
  <c r="C125" i="2"/>
  <c r="D123" i="2"/>
  <c r="D125" i="2"/>
  <c r="E123" i="2"/>
  <c r="E125" i="2"/>
  <c r="F123" i="2"/>
  <c r="F125" i="2"/>
  <c r="G123" i="2"/>
  <c r="G125" i="2"/>
  <c r="H125" i="2"/>
  <c r="B126" i="2"/>
  <c r="C126" i="2"/>
  <c r="D126" i="2"/>
  <c r="E126" i="2"/>
  <c r="F126" i="2"/>
  <c r="G126" i="2"/>
  <c r="H126" i="2"/>
  <c r="B127" i="2"/>
  <c r="C127" i="2"/>
  <c r="D127" i="2"/>
  <c r="E127" i="2"/>
  <c r="F127" i="2"/>
  <c r="G127" i="2"/>
  <c r="H127" i="2"/>
  <c r="B130" i="2"/>
  <c r="C130" i="2"/>
  <c r="D130" i="2"/>
  <c r="E130" i="2"/>
  <c r="F130" i="2"/>
  <c r="G130" i="2"/>
  <c r="H130" i="2"/>
  <c r="B132" i="2"/>
  <c r="B131" i="2"/>
  <c r="C132" i="2"/>
  <c r="C131" i="2"/>
  <c r="D132" i="2"/>
  <c r="D131" i="2"/>
  <c r="E132" i="2"/>
  <c r="E131" i="2"/>
  <c r="F132" i="2"/>
  <c r="F131" i="2"/>
  <c r="G132" i="2"/>
  <c r="G131" i="2"/>
  <c r="H131" i="2"/>
  <c r="H132" i="2"/>
  <c r="H123" i="2"/>
  <c r="H102" i="2"/>
  <c r="H101" i="2"/>
  <c r="C62" i="2"/>
  <c r="C63" i="2"/>
  <c r="C64" i="2"/>
  <c r="C65" i="2"/>
  <c r="C68" i="2"/>
  <c r="C69" i="2"/>
  <c r="C72" i="2"/>
  <c r="C82" i="2"/>
  <c r="D62" i="2"/>
  <c r="D63" i="2"/>
  <c r="D64" i="2"/>
  <c r="D65" i="2"/>
  <c r="D68" i="2"/>
  <c r="D69" i="2"/>
  <c r="D72" i="2"/>
  <c r="D82" i="2"/>
  <c r="E62" i="2"/>
  <c r="E63" i="2"/>
  <c r="E64" i="2"/>
  <c r="E65" i="2"/>
  <c r="E68" i="2"/>
  <c r="E69" i="2"/>
  <c r="E72" i="2"/>
  <c r="E82" i="2"/>
  <c r="F62" i="2"/>
  <c r="F63" i="2"/>
  <c r="F64" i="2"/>
  <c r="F65" i="2"/>
  <c r="F68" i="2"/>
  <c r="F69" i="2"/>
  <c r="F72" i="2"/>
  <c r="F82" i="2"/>
  <c r="G62" i="2"/>
  <c r="G63" i="2"/>
  <c r="G64" i="2"/>
  <c r="G65" i="2"/>
  <c r="G68" i="2"/>
  <c r="G69" i="2"/>
  <c r="G72" i="2"/>
  <c r="G82" i="2"/>
  <c r="H73" i="2"/>
  <c r="B62" i="2"/>
  <c r="B63" i="2"/>
  <c r="B64" i="2"/>
  <c r="B65" i="2"/>
  <c r="B68" i="2"/>
  <c r="B69" i="2"/>
  <c r="B72" i="2"/>
  <c r="H72" i="2"/>
  <c r="H82" i="2"/>
  <c r="B82" i="2"/>
  <c r="J64" i="2"/>
  <c r="K64" i="2"/>
  <c r="L64" i="2"/>
  <c r="M64" i="2"/>
  <c r="N64" i="2"/>
  <c r="O64" i="2"/>
  <c r="H64" i="2"/>
  <c r="H60" i="2"/>
  <c r="P64" i="2"/>
  <c r="J65" i="2"/>
  <c r="K65" i="2"/>
  <c r="L65" i="2"/>
  <c r="M65" i="2"/>
  <c r="N65" i="2"/>
  <c r="O65" i="2"/>
  <c r="H65" i="2"/>
  <c r="P65" i="2"/>
  <c r="B74" i="2"/>
  <c r="B76" i="2"/>
  <c r="C74" i="2"/>
  <c r="C76" i="2"/>
  <c r="D74" i="2"/>
  <c r="D76" i="2"/>
  <c r="E74" i="2"/>
  <c r="E76" i="2"/>
  <c r="F74" i="2"/>
  <c r="F76" i="2"/>
  <c r="G74" i="2"/>
  <c r="G76" i="2"/>
  <c r="H76" i="2"/>
  <c r="P76" i="2"/>
  <c r="H75" i="2"/>
  <c r="P75" i="2"/>
  <c r="H74" i="2"/>
  <c r="P74" i="2"/>
  <c r="P73" i="2"/>
  <c r="P72" i="2"/>
  <c r="H71" i="2"/>
  <c r="P71" i="2"/>
  <c r="H70" i="2"/>
  <c r="P70" i="2"/>
  <c r="H69" i="2"/>
  <c r="P69" i="2"/>
  <c r="H68" i="2"/>
  <c r="P68" i="2"/>
  <c r="H67" i="2"/>
  <c r="P67" i="2"/>
  <c r="H66" i="2"/>
  <c r="P66" i="2"/>
  <c r="H63" i="2"/>
  <c r="P63" i="2"/>
  <c r="H62" i="2"/>
  <c r="P62" i="2"/>
  <c r="H61" i="2"/>
  <c r="P61" i="2"/>
  <c r="P60" i="2"/>
  <c r="C92" i="2"/>
  <c r="D92" i="2"/>
  <c r="E92" i="2"/>
  <c r="F92" i="2"/>
  <c r="G92" i="2"/>
  <c r="C93" i="2"/>
  <c r="D93" i="2"/>
  <c r="E93" i="2"/>
  <c r="F93" i="2"/>
  <c r="G93" i="2"/>
  <c r="C94" i="2"/>
  <c r="D94" i="2"/>
  <c r="E94" i="2"/>
  <c r="F94" i="2"/>
  <c r="G94" i="2"/>
  <c r="C95" i="2"/>
  <c r="D95" i="2"/>
  <c r="E95" i="2"/>
  <c r="F95" i="2"/>
  <c r="G95" i="2"/>
  <c r="B92" i="2"/>
  <c r="B93" i="2"/>
  <c r="B94" i="2"/>
  <c r="B95" i="2"/>
  <c r="C85" i="2"/>
  <c r="D85" i="2"/>
  <c r="E85" i="2"/>
  <c r="F85" i="2"/>
  <c r="G85" i="2"/>
  <c r="C86" i="2"/>
  <c r="D86" i="2"/>
  <c r="E86" i="2"/>
  <c r="F86" i="2"/>
  <c r="G86" i="2"/>
  <c r="C87" i="2"/>
  <c r="D87" i="2"/>
  <c r="E87" i="2"/>
  <c r="F87" i="2"/>
  <c r="G87" i="2"/>
  <c r="C88" i="2"/>
  <c r="D88" i="2"/>
  <c r="E88" i="2"/>
  <c r="F88" i="2"/>
  <c r="G88" i="2"/>
  <c r="C89" i="2"/>
  <c r="D89" i="2"/>
  <c r="E89" i="2"/>
  <c r="F89" i="2"/>
  <c r="G89" i="2"/>
  <c r="C90" i="2"/>
  <c r="D90" i="2"/>
  <c r="E90" i="2"/>
  <c r="F90" i="2"/>
  <c r="G90" i="2"/>
  <c r="B89" i="2"/>
  <c r="B85" i="2"/>
  <c r="B86" i="2"/>
  <c r="B87" i="2"/>
  <c r="B88" i="2"/>
  <c r="B90" i="2"/>
  <c r="C77" i="2"/>
  <c r="D77" i="2"/>
  <c r="E77" i="2"/>
  <c r="F77" i="2"/>
  <c r="G77" i="2"/>
  <c r="B77" i="2"/>
  <c r="X229" i="2"/>
  <c r="W229" i="2"/>
  <c r="V229" i="2"/>
  <c r="U229" i="2"/>
  <c r="T229" i="2"/>
  <c r="S229" i="2"/>
  <c r="R229" i="2"/>
  <c r="O229" i="2"/>
  <c r="N229" i="2"/>
  <c r="M229" i="2"/>
  <c r="L229" i="2"/>
  <c r="K229" i="2"/>
  <c r="J229" i="2"/>
  <c r="B227" i="2"/>
  <c r="B34" i="2"/>
  <c r="B54" i="2"/>
  <c r="C227" i="2"/>
  <c r="C34" i="2"/>
  <c r="C54" i="2"/>
  <c r="B53" i="2"/>
  <c r="B52" i="2"/>
  <c r="D227" i="2"/>
  <c r="D34" i="2"/>
  <c r="D54" i="2"/>
  <c r="C53" i="2"/>
  <c r="C52" i="2"/>
  <c r="E227" i="2"/>
  <c r="E34" i="2"/>
  <c r="E54" i="2"/>
  <c r="D53" i="2"/>
  <c r="D52" i="2"/>
  <c r="F227" i="2"/>
  <c r="F34" i="2"/>
  <c r="F54" i="2"/>
  <c r="E53" i="2"/>
  <c r="E52" i="2"/>
  <c r="G227" i="2"/>
  <c r="G34" i="2"/>
  <c r="G54" i="2"/>
  <c r="F53" i="2"/>
  <c r="F52" i="2"/>
  <c r="G52" i="2"/>
  <c r="H52" i="2"/>
  <c r="H53" i="2"/>
  <c r="H54" i="2"/>
  <c r="B47" i="2"/>
  <c r="B49" i="2"/>
  <c r="B51" i="2"/>
  <c r="C47" i="2"/>
  <c r="C49" i="2"/>
  <c r="C51" i="2"/>
  <c r="D47" i="2"/>
  <c r="D49" i="2"/>
  <c r="D51" i="2"/>
  <c r="E47" i="2"/>
  <c r="E49" i="2"/>
  <c r="E51" i="2"/>
  <c r="F47" i="2"/>
  <c r="F49" i="2"/>
  <c r="F51" i="2"/>
  <c r="G47" i="2"/>
  <c r="G49" i="2"/>
  <c r="G51" i="2"/>
  <c r="H51" i="2"/>
  <c r="H50" i="2"/>
  <c r="H49" i="2"/>
  <c r="H48" i="2"/>
  <c r="H47" i="2"/>
  <c r="A46" i="2"/>
  <c r="A45" i="2"/>
  <c r="A43" i="2"/>
  <c r="C39" i="2"/>
  <c r="C41" i="2"/>
  <c r="D39" i="2"/>
  <c r="D41" i="2"/>
  <c r="E39" i="2"/>
  <c r="E41" i="2"/>
  <c r="F39" i="2"/>
  <c r="F41" i="2"/>
  <c r="G39" i="2"/>
  <c r="G41" i="2"/>
  <c r="B39" i="2"/>
  <c r="B41" i="2"/>
  <c r="C204" i="2"/>
  <c r="C23" i="2"/>
  <c r="C27" i="2"/>
  <c r="C28" i="2"/>
  <c r="C31" i="2"/>
  <c r="C32" i="2"/>
  <c r="C35" i="2"/>
  <c r="D204" i="2"/>
  <c r="D23" i="2"/>
  <c r="D27" i="2"/>
  <c r="D28" i="2"/>
  <c r="D31" i="2"/>
  <c r="D32" i="2"/>
  <c r="D35" i="2"/>
  <c r="E204" i="2"/>
  <c r="E23" i="2"/>
  <c r="E27" i="2"/>
  <c r="E28" i="2"/>
  <c r="E31" i="2"/>
  <c r="E32" i="2"/>
  <c r="E35" i="2"/>
  <c r="F204" i="2"/>
  <c r="F23" i="2"/>
  <c r="F27" i="2"/>
  <c r="F28" i="2"/>
  <c r="F31" i="2"/>
  <c r="F32" i="2"/>
  <c r="F35" i="2"/>
  <c r="G204" i="2"/>
  <c r="G23" i="2"/>
  <c r="G27" i="2"/>
  <c r="G28" i="2"/>
  <c r="G31" i="2"/>
  <c r="G32" i="2"/>
  <c r="G35" i="2"/>
  <c r="C36" i="2"/>
  <c r="D36" i="2"/>
  <c r="E36" i="2"/>
  <c r="F36" i="2"/>
  <c r="G36" i="2"/>
  <c r="X227" i="2"/>
  <c r="W227" i="2"/>
  <c r="V227" i="2"/>
  <c r="U227" i="2"/>
  <c r="T227" i="2"/>
  <c r="S227" i="2"/>
  <c r="R227" i="2"/>
  <c r="O227" i="2"/>
  <c r="N227" i="2"/>
  <c r="M227" i="2"/>
  <c r="L227" i="2"/>
  <c r="K227" i="2"/>
  <c r="J227" i="2"/>
  <c r="X226" i="2"/>
  <c r="W226" i="2"/>
  <c r="V226" i="2"/>
  <c r="U226" i="2"/>
  <c r="T226" i="2"/>
  <c r="S226" i="2"/>
  <c r="R226" i="2"/>
  <c r="O226" i="2"/>
  <c r="N226" i="2"/>
  <c r="M226" i="2"/>
  <c r="L226" i="2"/>
  <c r="K226" i="2"/>
  <c r="J226" i="2"/>
  <c r="X225" i="2"/>
  <c r="W225" i="2"/>
  <c r="V225" i="2"/>
  <c r="U225" i="2"/>
  <c r="T225" i="2"/>
  <c r="S225" i="2"/>
  <c r="R225" i="2"/>
  <c r="O225" i="2"/>
  <c r="N225" i="2"/>
  <c r="M225" i="2"/>
  <c r="L225" i="2"/>
  <c r="K225" i="2"/>
  <c r="J225" i="2"/>
  <c r="X224" i="2"/>
  <c r="W224" i="2"/>
  <c r="V224" i="2"/>
  <c r="U224" i="2"/>
  <c r="T224" i="2"/>
  <c r="S224" i="2"/>
  <c r="R224" i="2"/>
  <c r="O224" i="2"/>
  <c r="N224" i="2"/>
  <c r="M224" i="2"/>
  <c r="L224" i="2"/>
  <c r="K224" i="2"/>
  <c r="J224" i="2"/>
  <c r="X223" i="2"/>
  <c r="W223" i="2"/>
  <c r="V223" i="2"/>
  <c r="U223" i="2"/>
  <c r="T223" i="2"/>
  <c r="S223" i="2"/>
  <c r="R223" i="2"/>
  <c r="O223" i="2"/>
  <c r="N223" i="2"/>
  <c r="M223" i="2"/>
  <c r="L223" i="2"/>
  <c r="K223" i="2"/>
  <c r="J223" i="2"/>
  <c r="X222" i="2"/>
  <c r="W222" i="2"/>
  <c r="V222" i="2"/>
  <c r="U222" i="2"/>
  <c r="T222" i="2"/>
  <c r="S222" i="2"/>
  <c r="R222" i="2"/>
  <c r="O222" i="2"/>
  <c r="N222" i="2"/>
  <c r="M222" i="2"/>
  <c r="L222" i="2"/>
  <c r="K222" i="2"/>
  <c r="J222" i="2"/>
  <c r="X221" i="2"/>
  <c r="W221" i="2"/>
  <c r="V221" i="2"/>
  <c r="U221" i="2"/>
  <c r="T221" i="2"/>
  <c r="S221" i="2"/>
  <c r="R221" i="2"/>
  <c r="O221" i="2"/>
  <c r="N221" i="2"/>
  <c r="M221" i="2"/>
  <c r="L221" i="2"/>
  <c r="K221" i="2"/>
  <c r="J221" i="2"/>
  <c r="B31" i="2"/>
  <c r="B27" i="2"/>
  <c r="B204" i="2"/>
  <c r="B23" i="2"/>
  <c r="J212" i="2"/>
  <c r="X217" i="2"/>
  <c r="W217" i="2"/>
  <c r="V217" i="2"/>
  <c r="U217" i="2"/>
  <c r="T217" i="2"/>
  <c r="S217" i="2"/>
  <c r="R217" i="2"/>
  <c r="O217" i="2"/>
  <c r="N217" i="2"/>
  <c r="M217" i="2"/>
  <c r="L217" i="2"/>
  <c r="K217" i="2"/>
  <c r="J217" i="2"/>
  <c r="T216" i="2"/>
  <c r="S216" i="2"/>
  <c r="O216" i="2"/>
  <c r="N216" i="2"/>
  <c r="M216" i="2"/>
  <c r="L216" i="2"/>
  <c r="K216" i="2"/>
  <c r="J216" i="2"/>
  <c r="X215" i="2"/>
  <c r="W215" i="2"/>
  <c r="V215" i="2"/>
  <c r="U215" i="2"/>
  <c r="T215" i="2"/>
  <c r="S215" i="2"/>
  <c r="R215" i="2"/>
  <c r="O215" i="2"/>
  <c r="N215" i="2"/>
  <c r="M215" i="2"/>
  <c r="L215" i="2"/>
  <c r="K215" i="2"/>
  <c r="J215" i="2"/>
  <c r="X214" i="2"/>
  <c r="W214" i="2"/>
  <c r="V214" i="2"/>
  <c r="U214" i="2"/>
  <c r="T214" i="2"/>
  <c r="S214" i="2"/>
  <c r="R214" i="2"/>
  <c r="O214" i="2"/>
  <c r="N214" i="2"/>
  <c r="M214" i="2"/>
  <c r="L214" i="2"/>
  <c r="K214" i="2"/>
  <c r="J214" i="2"/>
  <c r="X210" i="2"/>
  <c r="W210" i="2"/>
  <c r="V210" i="2"/>
  <c r="U210" i="2"/>
  <c r="T210" i="2"/>
  <c r="S210" i="2"/>
  <c r="R210" i="2"/>
  <c r="O210" i="2"/>
  <c r="N210" i="2"/>
  <c r="M210" i="2"/>
  <c r="L210" i="2"/>
  <c r="K210" i="2"/>
  <c r="J210" i="2"/>
  <c r="W209" i="2"/>
  <c r="V209" i="2"/>
  <c r="U209" i="2"/>
  <c r="S209" i="2"/>
  <c r="O209" i="2"/>
  <c r="N209" i="2"/>
  <c r="M209" i="2"/>
  <c r="L209" i="2"/>
  <c r="K209" i="2"/>
  <c r="J209" i="2"/>
  <c r="T208" i="2"/>
  <c r="S208" i="2"/>
  <c r="O208" i="2"/>
  <c r="N208" i="2"/>
  <c r="M208" i="2"/>
  <c r="L208" i="2"/>
  <c r="K208" i="2"/>
  <c r="J208" i="2"/>
  <c r="X207" i="2"/>
  <c r="W207" i="2"/>
  <c r="V207" i="2"/>
  <c r="U207" i="2"/>
  <c r="T207" i="2"/>
  <c r="S207" i="2"/>
  <c r="R207" i="2"/>
  <c r="O207" i="2"/>
  <c r="N207" i="2"/>
  <c r="M207" i="2"/>
  <c r="L207" i="2"/>
  <c r="K207" i="2"/>
  <c r="J207" i="2"/>
  <c r="X206" i="2"/>
  <c r="W206" i="2"/>
  <c r="V206" i="2"/>
  <c r="U206" i="2"/>
  <c r="T206" i="2"/>
  <c r="S206" i="2"/>
  <c r="R206" i="2"/>
  <c r="O206" i="2"/>
  <c r="N206" i="2"/>
  <c r="M206" i="2"/>
  <c r="L206" i="2"/>
  <c r="K206" i="2"/>
  <c r="J206" i="2"/>
  <c r="X203" i="2"/>
  <c r="W203" i="2"/>
  <c r="V203" i="2"/>
  <c r="U203" i="2"/>
  <c r="T203" i="2"/>
  <c r="S203" i="2"/>
  <c r="R203" i="2"/>
  <c r="O203" i="2"/>
  <c r="N203" i="2"/>
  <c r="M203" i="2"/>
  <c r="L203" i="2"/>
  <c r="K203" i="2"/>
  <c r="J203" i="2"/>
  <c r="X202" i="2"/>
  <c r="W202" i="2"/>
  <c r="V202" i="2"/>
  <c r="U202" i="2"/>
  <c r="T202" i="2"/>
  <c r="S202" i="2"/>
  <c r="R202" i="2"/>
  <c r="O202" i="2"/>
  <c r="N202" i="2"/>
  <c r="M202" i="2"/>
  <c r="L202" i="2"/>
  <c r="K202" i="2"/>
  <c r="J202" i="2"/>
  <c r="X195" i="2"/>
  <c r="W195" i="2"/>
  <c r="V195" i="2"/>
  <c r="U195" i="2"/>
  <c r="T195" i="2"/>
  <c r="S195" i="2"/>
  <c r="R195" i="2"/>
  <c r="O195" i="2"/>
  <c r="N195" i="2"/>
  <c r="M195" i="2"/>
  <c r="L195" i="2"/>
  <c r="K195" i="2"/>
  <c r="J195" i="2"/>
  <c r="X194" i="2"/>
  <c r="W194" i="2"/>
  <c r="V194" i="2"/>
  <c r="U194" i="2"/>
  <c r="T194" i="2"/>
  <c r="S194" i="2"/>
  <c r="R194" i="2"/>
  <c r="O194" i="2"/>
  <c r="N194" i="2"/>
  <c r="M194" i="2"/>
  <c r="L194" i="2"/>
  <c r="K194" i="2"/>
  <c r="J194" i="2"/>
  <c r="B184" i="2"/>
  <c r="A187" i="2"/>
  <c r="A186" i="2"/>
  <c r="A184" i="2"/>
  <c r="X191" i="2"/>
  <c r="W191" i="2"/>
  <c r="V191" i="2"/>
  <c r="U191" i="2"/>
  <c r="T191" i="2"/>
  <c r="S191" i="2"/>
  <c r="R191" i="2"/>
  <c r="O191" i="2"/>
  <c r="N191" i="2"/>
  <c r="M191" i="2"/>
  <c r="L191" i="2"/>
  <c r="K191" i="2"/>
  <c r="J191" i="2"/>
  <c r="X190" i="2"/>
  <c r="W190" i="2"/>
  <c r="V190" i="2"/>
  <c r="U190" i="2"/>
  <c r="T190" i="2"/>
  <c r="S190" i="2"/>
  <c r="R190" i="2"/>
  <c r="O190" i="2"/>
  <c r="N190" i="2"/>
  <c r="M190" i="2"/>
  <c r="L190" i="2"/>
  <c r="K190" i="2"/>
  <c r="J190" i="2"/>
  <c r="X189" i="2"/>
  <c r="W189" i="2"/>
  <c r="V189" i="2"/>
  <c r="U189" i="2"/>
  <c r="T189" i="2"/>
  <c r="S189" i="2"/>
  <c r="R189" i="2"/>
  <c r="O189" i="2"/>
  <c r="N189" i="2"/>
  <c r="M189" i="2"/>
  <c r="L189" i="2"/>
  <c r="K189" i="2"/>
  <c r="J189" i="2"/>
  <c r="X188" i="2"/>
  <c r="W188" i="2"/>
  <c r="S188" i="2"/>
  <c r="R188" i="2"/>
  <c r="O188" i="2"/>
  <c r="N188" i="2"/>
  <c r="M188" i="2"/>
  <c r="L188" i="2"/>
  <c r="K188" i="2"/>
  <c r="J188" i="2"/>
  <c r="A166" i="2"/>
  <c r="A165" i="2"/>
  <c r="B163" i="2"/>
  <c r="A163" i="2"/>
  <c r="G156" i="2"/>
  <c r="G157" i="2"/>
  <c r="F156" i="2"/>
  <c r="F157" i="2"/>
  <c r="E155" i="2"/>
  <c r="E156" i="2"/>
  <c r="E157" i="2"/>
  <c r="D156" i="2"/>
  <c r="D157" i="2"/>
  <c r="C155" i="2"/>
  <c r="C156" i="2"/>
  <c r="C157" i="2"/>
  <c r="B155" i="2"/>
  <c r="B156" i="2"/>
  <c r="B157" i="2"/>
  <c r="X156" i="2"/>
  <c r="W156" i="2"/>
  <c r="V156" i="2"/>
  <c r="U156" i="2"/>
  <c r="T156" i="2"/>
  <c r="S156" i="2"/>
  <c r="R156" i="2"/>
  <c r="O156" i="2"/>
  <c r="N156" i="2"/>
  <c r="M156" i="2"/>
  <c r="L156" i="2"/>
  <c r="K156" i="2"/>
  <c r="J156" i="2"/>
  <c r="X155" i="2"/>
  <c r="W155" i="2"/>
  <c r="V155" i="2"/>
  <c r="U155" i="2"/>
  <c r="T155" i="2"/>
  <c r="S155" i="2"/>
  <c r="R155" i="2"/>
  <c r="O155" i="2"/>
  <c r="N155" i="2"/>
  <c r="M155" i="2"/>
  <c r="L155" i="2"/>
  <c r="K155" i="2"/>
  <c r="J155" i="2"/>
  <c r="X154" i="2"/>
  <c r="W154" i="2"/>
  <c r="V154" i="2"/>
  <c r="U154" i="2"/>
  <c r="T154" i="2"/>
  <c r="S154" i="2"/>
  <c r="R154" i="2"/>
  <c r="O154" i="2"/>
  <c r="N154" i="2"/>
  <c r="M154" i="2"/>
  <c r="L154" i="2"/>
  <c r="K154" i="2"/>
  <c r="J154" i="2"/>
  <c r="X153" i="2"/>
  <c r="W153" i="2"/>
  <c r="V153" i="2"/>
  <c r="U153" i="2"/>
  <c r="T153" i="2"/>
  <c r="S153" i="2"/>
  <c r="O153" i="2"/>
  <c r="N153" i="2"/>
  <c r="M153" i="2"/>
  <c r="L153" i="2"/>
  <c r="K153" i="2"/>
  <c r="J153" i="2"/>
  <c r="X152" i="2"/>
  <c r="W152" i="2"/>
  <c r="V152" i="2"/>
  <c r="U152" i="2"/>
  <c r="T152" i="2"/>
  <c r="S152" i="2"/>
  <c r="R152" i="2"/>
  <c r="O152" i="2"/>
  <c r="N152" i="2"/>
  <c r="M152" i="2"/>
  <c r="L152" i="2"/>
  <c r="K152" i="2"/>
  <c r="J152" i="2"/>
  <c r="X151" i="2"/>
  <c r="W151" i="2"/>
  <c r="V151" i="2"/>
  <c r="U151" i="2"/>
  <c r="T151" i="2"/>
  <c r="S151" i="2"/>
  <c r="O151" i="2"/>
  <c r="N151" i="2"/>
  <c r="M151" i="2"/>
  <c r="L151" i="2"/>
  <c r="K151" i="2"/>
  <c r="J151" i="2"/>
  <c r="X150" i="2"/>
  <c r="W150" i="2"/>
  <c r="V150" i="2"/>
  <c r="U150" i="2"/>
  <c r="T150" i="2"/>
  <c r="S150" i="2"/>
  <c r="R150" i="2"/>
  <c r="O150" i="2"/>
  <c r="N150" i="2"/>
  <c r="M150" i="2"/>
  <c r="L150" i="2"/>
  <c r="K150" i="2"/>
  <c r="J150" i="2"/>
  <c r="X148" i="2"/>
  <c r="W148" i="2"/>
  <c r="V148" i="2"/>
  <c r="S148" i="2"/>
  <c r="R148" i="2"/>
  <c r="O148" i="2"/>
  <c r="N148" i="2"/>
  <c r="M148" i="2"/>
  <c r="L148" i="2"/>
  <c r="K148" i="2"/>
  <c r="J148" i="2"/>
  <c r="X147" i="2"/>
  <c r="W147" i="2"/>
  <c r="V147" i="2"/>
  <c r="S147" i="2"/>
  <c r="R147" i="2"/>
  <c r="O147" i="2"/>
  <c r="N147" i="2"/>
  <c r="M147" i="2"/>
  <c r="L147" i="2"/>
  <c r="K147" i="2"/>
  <c r="J147" i="2"/>
  <c r="U146" i="2"/>
  <c r="S146" i="2"/>
  <c r="O146" i="2"/>
  <c r="N146" i="2"/>
  <c r="M146" i="2"/>
  <c r="L146" i="2"/>
  <c r="K146" i="2"/>
  <c r="J146" i="2"/>
  <c r="U145" i="2"/>
  <c r="S145" i="2"/>
  <c r="O145" i="2"/>
  <c r="N145" i="2"/>
  <c r="M145" i="2"/>
  <c r="L145" i="2"/>
  <c r="K145" i="2"/>
  <c r="J145" i="2"/>
  <c r="V144" i="2"/>
  <c r="U144" i="2"/>
  <c r="T144" i="2"/>
  <c r="S144" i="2"/>
  <c r="O144" i="2"/>
  <c r="N144" i="2"/>
  <c r="M144" i="2"/>
  <c r="L144" i="2"/>
  <c r="K144" i="2"/>
  <c r="J144" i="2"/>
  <c r="X143" i="2"/>
  <c r="W143" i="2"/>
  <c r="V143" i="2"/>
  <c r="U143" i="2"/>
  <c r="S143" i="2"/>
  <c r="R143" i="2"/>
  <c r="O143" i="2"/>
  <c r="N143" i="2"/>
  <c r="M143" i="2"/>
  <c r="L143" i="2"/>
  <c r="K143" i="2"/>
  <c r="J143" i="2"/>
  <c r="X142" i="2"/>
  <c r="W142" i="2"/>
  <c r="V142" i="2"/>
  <c r="U142" i="2"/>
  <c r="T142" i="2"/>
  <c r="S142" i="2"/>
  <c r="R142" i="2"/>
  <c r="O142" i="2"/>
  <c r="N142" i="2"/>
  <c r="M142" i="2"/>
  <c r="L142" i="2"/>
  <c r="K142" i="2"/>
  <c r="J142" i="2"/>
  <c r="X140" i="2"/>
  <c r="W140" i="2"/>
  <c r="V140" i="2"/>
  <c r="U140" i="2"/>
  <c r="T140" i="2"/>
  <c r="S140" i="2"/>
  <c r="O140" i="2"/>
  <c r="N140" i="2"/>
  <c r="M140" i="2"/>
  <c r="L140" i="2"/>
  <c r="K140" i="2"/>
  <c r="J140" i="2"/>
  <c r="X139" i="2"/>
  <c r="W139" i="2"/>
  <c r="V139" i="2"/>
  <c r="U139" i="2"/>
  <c r="T139" i="2"/>
  <c r="S139" i="2"/>
  <c r="R139" i="2"/>
  <c r="O139" i="2"/>
  <c r="N139" i="2"/>
  <c r="M139" i="2"/>
  <c r="L139" i="2"/>
  <c r="K139" i="2"/>
  <c r="J139" i="2"/>
  <c r="W138" i="2"/>
  <c r="V138" i="2"/>
  <c r="T138" i="2"/>
  <c r="S138" i="2"/>
  <c r="O138" i="2"/>
  <c r="N138" i="2"/>
  <c r="M138" i="2"/>
  <c r="L138" i="2"/>
  <c r="K138" i="2"/>
  <c r="J138" i="2"/>
  <c r="W137" i="2"/>
  <c r="V137" i="2"/>
  <c r="U137" i="2"/>
  <c r="T137" i="2"/>
  <c r="S137" i="2"/>
  <c r="O137" i="2"/>
  <c r="N137" i="2"/>
  <c r="M137" i="2"/>
  <c r="L137" i="2"/>
  <c r="K137" i="2"/>
  <c r="J137" i="2"/>
  <c r="W136" i="2"/>
  <c r="V136" i="2"/>
  <c r="T136" i="2"/>
  <c r="S136" i="2"/>
  <c r="O136" i="2"/>
  <c r="N136" i="2"/>
  <c r="M136" i="2"/>
  <c r="L136" i="2"/>
  <c r="K136" i="2"/>
  <c r="J136" i="2"/>
  <c r="X135" i="2"/>
  <c r="W135" i="2"/>
  <c r="S135" i="2"/>
  <c r="R135" i="2"/>
  <c r="O135" i="2"/>
  <c r="N135" i="2"/>
  <c r="M135" i="2"/>
  <c r="L135" i="2"/>
  <c r="K135" i="2"/>
  <c r="J135" i="2"/>
  <c r="X134" i="2"/>
  <c r="W134" i="2"/>
  <c r="V134" i="2"/>
  <c r="U134" i="2"/>
  <c r="T134" i="2"/>
  <c r="S134" i="2"/>
  <c r="R134" i="2"/>
  <c r="O134" i="2"/>
  <c r="N134" i="2"/>
  <c r="M134" i="2"/>
  <c r="L134" i="2"/>
  <c r="K134" i="2"/>
  <c r="J134" i="2"/>
  <c r="X121" i="2"/>
  <c r="W121" i="2"/>
  <c r="V121" i="2"/>
  <c r="U121" i="2"/>
  <c r="T121" i="2"/>
  <c r="S121" i="2"/>
  <c r="R121" i="2"/>
  <c r="O121" i="2"/>
  <c r="N121" i="2"/>
  <c r="M121" i="2"/>
  <c r="L121" i="2"/>
  <c r="K121" i="2"/>
  <c r="J121" i="2"/>
  <c r="X120" i="2"/>
  <c r="W120" i="2"/>
  <c r="V120" i="2"/>
  <c r="U120" i="2"/>
  <c r="T120" i="2"/>
  <c r="S120" i="2"/>
  <c r="R120" i="2"/>
  <c r="X119" i="2"/>
  <c r="W119" i="2"/>
  <c r="V119" i="2"/>
  <c r="U119" i="2"/>
  <c r="T119" i="2"/>
  <c r="S119" i="2"/>
  <c r="R119" i="2"/>
  <c r="X118" i="2"/>
  <c r="W118" i="2"/>
  <c r="V118" i="2"/>
  <c r="U118" i="2"/>
  <c r="T118" i="2"/>
  <c r="S118" i="2"/>
  <c r="R118" i="2"/>
  <c r="X117" i="2"/>
  <c r="W117" i="2"/>
  <c r="V117" i="2"/>
  <c r="U117" i="2"/>
  <c r="T117" i="2"/>
  <c r="S117" i="2"/>
  <c r="R117" i="2"/>
  <c r="X116" i="2"/>
  <c r="W116" i="2"/>
  <c r="V116" i="2"/>
  <c r="U116" i="2"/>
  <c r="T116" i="2"/>
  <c r="S116" i="2"/>
  <c r="R116" i="2"/>
  <c r="X115" i="2"/>
  <c r="W115" i="2"/>
  <c r="V115" i="2"/>
  <c r="U115" i="2"/>
  <c r="T115" i="2"/>
  <c r="S115" i="2"/>
  <c r="R115" i="2"/>
  <c r="X114" i="2"/>
  <c r="W114" i="2"/>
  <c r="V114" i="2"/>
  <c r="U114" i="2"/>
  <c r="T114" i="2"/>
  <c r="S114" i="2"/>
  <c r="R114" i="2"/>
  <c r="X113" i="2"/>
  <c r="W113" i="2"/>
  <c r="V113" i="2"/>
  <c r="U113" i="2"/>
  <c r="T113" i="2"/>
  <c r="S113" i="2"/>
  <c r="R113" i="2"/>
  <c r="X112" i="2"/>
  <c r="W112" i="2"/>
  <c r="V112" i="2"/>
  <c r="U112" i="2"/>
  <c r="T112" i="2"/>
  <c r="S112" i="2"/>
  <c r="R112" i="2"/>
  <c r="X111" i="2"/>
  <c r="W111" i="2"/>
  <c r="V111" i="2"/>
  <c r="U111" i="2"/>
  <c r="T111" i="2"/>
  <c r="S111" i="2"/>
  <c r="R111" i="2"/>
  <c r="X110" i="2"/>
  <c r="W110" i="2"/>
  <c r="V110" i="2"/>
  <c r="U110" i="2"/>
  <c r="T110" i="2"/>
  <c r="S110" i="2"/>
  <c r="R110" i="2"/>
  <c r="X109" i="2"/>
  <c r="W109" i="2"/>
  <c r="V109" i="2"/>
  <c r="U109" i="2"/>
  <c r="T109" i="2"/>
  <c r="S109" i="2"/>
  <c r="R109" i="2"/>
  <c r="X108" i="2"/>
  <c r="W108" i="2"/>
  <c r="V108" i="2"/>
  <c r="U108" i="2"/>
  <c r="T108" i="2"/>
  <c r="S108" i="2"/>
  <c r="R108" i="2"/>
  <c r="X107" i="2"/>
  <c r="W107" i="2"/>
  <c r="V107" i="2"/>
  <c r="U107" i="2"/>
  <c r="T107" i="2"/>
  <c r="S107" i="2"/>
  <c r="R107" i="2"/>
  <c r="X106" i="2"/>
  <c r="W106" i="2"/>
  <c r="V106" i="2"/>
  <c r="U106" i="2"/>
  <c r="T106" i="2"/>
  <c r="S106" i="2"/>
  <c r="R106" i="2"/>
  <c r="X105" i="2"/>
  <c r="W105" i="2"/>
  <c r="V105" i="2"/>
  <c r="U105" i="2"/>
  <c r="T105" i="2"/>
  <c r="S105" i="2"/>
  <c r="R105" i="2"/>
  <c r="X104" i="2"/>
  <c r="W104" i="2"/>
  <c r="V104" i="2"/>
  <c r="U104" i="2"/>
  <c r="T104" i="2"/>
  <c r="S104" i="2"/>
  <c r="R104" i="2"/>
  <c r="X103" i="2"/>
  <c r="W103" i="2"/>
  <c r="V103" i="2"/>
  <c r="U103" i="2"/>
  <c r="T103" i="2"/>
  <c r="S103" i="2"/>
  <c r="R103" i="2"/>
  <c r="X102" i="2"/>
  <c r="W102" i="2"/>
  <c r="V102" i="2"/>
  <c r="U102" i="2"/>
  <c r="T102" i="2"/>
  <c r="S102" i="2"/>
  <c r="R102" i="2"/>
  <c r="X101" i="2"/>
  <c r="W101" i="2"/>
  <c r="V101" i="2"/>
  <c r="U101" i="2"/>
  <c r="T101" i="2"/>
  <c r="S101" i="2"/>
  <c r="R101" i="2"/>
  <c r="A100" i="2"/>
  <c r="A99" i="2"/>
  <c r="B97" i="2"/>
  <c r="R97" i="2"/>
  <c r="J97" i="2"/>
  <c r="A97" i="2"/>
  <c r="X80" i="2"/>
  <c r="W80" i="2"/>
  <c r="V80" i="2"/>
  <c r="U80" i="2"/>
  <c r="T80" i="2"/>
  <c r="S80" i="2"/>
  <c r="R80" i="2"/>
  <c r="F79" i="2"/>
  <c r="G79" i="2"/>
  <c r="X79" i="2"/>
  <c r="E79" i="2"/>
  <c r="W79" i="2"/>
  <c r="D79" i="2"/>
  <c r="V79" i="2"/>
  <c r="C79" i="2"/>
  <c r="U79" i="2"/>
  <c r="B79" i="2"/>
  <c r="T79" i="2"/>
  <c r="S79" i="2"/>
  <c r="R79" i="2"/>
  <c r="X78" i="2"/>
  <c r="W78" i="2"/>
  <c r="V78" i="2"/>
  <c r="U78" i="2"/>
  <c r="T78" i="2"/>
  <c r="S78" i="2"/>
  <c r="R78" i="2"/>
  <c r="X76" i="2"/>
  <c r="W76" i="2"/>
  <c r="V76" i="2"/>
  <c r="U76" i="2"/>
  <c r="T76" i="2"/>
  <c r="S76" i="2"/>
  <c r="R76" i="2"/>
  <c r="O76" i="2"/>
  <c r="N76" i="2"/>
  <c r="M76" i="2"/>
  <c r="L76" i="2"/>
  <c r="K76" i="2"/>
  <c r="J76" i="2"/>
  <c r="X75" i="2"/>
  <c r="W75" i="2"/>
  <c r="V75" i="2"/>
  <c r="U75" i="2"/>
  <c r="T75" i="2"/>
  <c r="S75" i="2"/>
  <c r="O75" i="2"/>
  <c r="N75" i="2"/>
  <c r="M75" i="2"/>
  <c r="L75" i="2"/>
  <c r="K75" i="2"/>
  <c r="J75" i="2"/>
  <c r="X74" i="2"/>
  <c r="W74" i="2"/>
  <c r="V74" i="2"/>
  <c r="U74" i="2"/>
  <c r="T74" i="2"/>
  <c r="S74" i="2"/>
  <c r="R74" i="2"/>
  <c r="O74" i="2"/>
  <c r="N74" i="2"/>
  <c r="M74" i="2"/>
  <c r="L74" i="2"/>
  <c r="K74" i="2"/>
  <c r="J74" i="2"/>
  <c r="X73" i="2"/>
  <c r="W73" i="2"/>
  <c r="V73" i="2"/>
  <c r="U73" i="2"/>
  <c r="T73" i="2"/>
  <c r="S73" i="2"/>
  <c r="O73" i="2"/>
  <c r="N73" i="2"/>
  <c r="M73" i="2"/>
  <c r="L73" i="2"/>
  <c r="K73" i="2"/>
  <c r="J73" i="2"/>
  <c r="X72" i="2"/>
  <c r="W72" i="2"/>
  <c r="V72" i="2"/>
  <c r="U72" i="2"/>
  <c r="T72" i="2"/>
  <c r="S72" i="2"/>
  <c r="R72" i="2"/>
  <c r="O72" i="2"/>
  <c r="N72" i="2"/>
  <c r="M72" i="2"/>
  <c r="L72" i="2"/>
  <c r="K72" i="2"/>
  <c r="J72" i="2"/>
  <c r="X71" i="2"/>
  <c r="W71" i="2"/>
  <c r="V71" i="2"/>
  <c r="U71" i="2"/>
  <c r="T71" i="2"/>
  <c r="S71" i="2"/>
  <c r="R71" i="2"/>
  <c r="O71" i="2"/>
  <c r="N71" i="2"/>
  <c r="M71" i="2"/>
  <c r="L71" i="2"/>
  <c r="K71" i="2"/>
  <c r="J71" i="2"/>
  <c r="X70" i="2"/>
  <c r="W70" i="2"/>
  <c r="V70" i="2"/>
  <c r="U70" i="2"/>
  <c r="T70" i="2"/>
  <c r="S70" i="2"/>
  <c r="R70" i="2"/>
  <c r="O70" i="2"/>
  <c r="N70" i="2"/>
  <c r="M70" i="2"/>
  <c r="L70" i="2"/>
  <c r="K70" i="2"/>
  <c r="J70" i="2"/>
  <c r="X69" i="2"/>
  <c r="W69" i="2"/>
  <c r="V69" i="2"/>
  <c r="U69" i="2"/>
  <c r="T69" i="2"/>
  <c r="S69" i="2"/>
  <c r="R69" i="2"/>
  <c r="O69" i="2"/>
  <c r="N69" i="2"/>
  <c r="M69" i="2"/>
  <c r="L69" i="2"/>
  <c r="K69" i="2"/>
  <c r="J69" i="2"/>
  <c r="X68" i="2"/>
  <c r="W68" i="2"/>
  <c r="V68" i="2"/>
  <c r="U68" i="2"/>
  <c r="T68" i="2"/>
  <c r="S68" i="2"/>
  <c r="R68" i="2"/>
  <c r="O68" i="2"/>
  <c r="N68" i="2"/>
  <c r="M68" i="2"/>
  <c r="L68" i="2"/>
  <c r="K68" i="2"/>
  <c r="J68" i="2"/>
  <c r="X67" i="2"/>
  <c r="W67" i="2"/>
  <c r="V67" i="2"/>
  <c r="U67" i="2"/>
  <c r="T67" i="2"/>
  <c r="S67" i="2"/>
  <c r="R67" i="2"/>
  <c r="O67" i="2"/>
  <c r="N67" i="2"/>
  <c r="M67" i="2"/>
  <c r="L67" i="2"/>
  <c r="K67" i="2"/>
  <c r="J67" i="2"/>
  <c r="W66" i="2"/>
  <c r="V66" i="2"/>
  <c r="U66" i="2"/>
  <c r="T66" i="2"/>
  <c r="S66" i="2"/>
  <c r="O66" i="2"/>
  <c r="N66" i="2"/>
  <c r="M66" i="2"/>
  <c r="L66" i="2"/>
  <c r="K66" i="2"/>
  <c r="J66" i="2"/>
  <c r="X63" i="2"/>
  <c r="W63" i="2"/>
  <c r="V63" i="2"/>
  <c r="U63" i="2"/>
  <c r="T63" i="2"/>
  <c r="S63" i="2"/>
  <c r="R63" i="2"/>
  <c r="O63" i="2"/>
  <c r="N63" i="2"/>
  <c r="M63" i="2"/>
  <c r="L63" i="2"/>
  <c r="K63" i="2"/>
  <c r="J63" i="2"/>
  <c r="X62" i="2"/>
  <c r="W62" i="2"/>
  <c r="V62" i="2"/>
  <c r="U62" i="2"/>
  <c r="T62" i="2"/>
  <c r="S62" i="2"/>
  <c r="R62" i="2"/>
  <c r="O62" i="2"/>
  <c r="N62" i="2"/>
  <c r="M62" i="2"/>
  <c r="L62" i="2"/>
  <c r="K62" i="2"/>
  <c r="J62" i="2"/>
  <c r="X61" i="2"/>
  <c r="W61" i="2"/>
  <c r="V61" i="2"/>
  <c r="U61" i="2"/>
  <c r="T61" i="2"/>
  <c r="S61" i="2"/>
  <c r="R61" i="2"/>
  <c r="O61" i="2"/>
  <c r="N61" i="2"/>
  <c r="M61" i="2"/>
  <c r="L61" i="2"/>
  <c r="K61" i="2"/>
  <c r="J61" i="2"/>
  <c r="X60" i="2"/>
  <c r="W60" i="2"/>
  <c r="V60" i="2"/>
  <c r="U60" i="2"/>
  <c r="T60" i="2"/>
  <c r="S60" i="2"/>
  <c r="R60" i="2"/>
  <c r="O60" i="2"/>
  <c r="N60" i="2"/>
  <c r="M60" i="2"/>
  <c r="L60" i="2"/>
  <c r="K60" i="2"/>
  <c r="J60" i="2"/>
  <c r="A59" i="2"/>
  <c r="A58" i="2"/>
  <c r="B56" i="2"/>
  <c r="R56" i="2"/>
  <c r="J56" i="2"/>
  <c r="A56" i="2"/>
  <c r="B28" i="2"/>
  <c r="B32" i="2"/>
  <c r="B35" i="2"/>
  <c r="B36" i="2"/>
  <c r="X35" i="2"/>
  <c r="W35" i="2"/>
  <c r="V35" i="2"/>
  <c r="U35" i="2"/>
  <c r="T35" i="2"/>
  <c r="S35" i="2"/>
  <c r="R35" i="2"/>
  <c r="O35" i="2"/>
  <c r="N35" i="2"/>
  <c r="M35" i="2"/>
  <c r="L35" i="2"/>
  <c r="K35" i="2"/>
  <c r="J35" i="2"/>
  <c r="X34" i="2"/>
  <c r="W34" i="2"/>
  <c r="V34" i="2"/>
  <c r="U34" i="2"/>
  <c r="T34" i="2"/>
  <c r="S34" i="2"/>
  <c r="R34" i="2"/>
  <c r="O34" i="2"/>
  <c r="N34" i="2"/>
  <c r="M34" i="2"/>
  <c r="L34" i="2"/>
  <c r="K34" i="2"/>
  <c r="J34" i="2"/>
  <c r="X33" i="2"/>
  <c r="W33" i="2"/>
  <c r="T33" i="2"/>
  <c r="S33" i="2"/>
  <c r="R33" i="2"/>
  <c r="O33" i="2"/>
  <c r="N33" i="2"/>
  <c r="M33" i="2"/>
  <c r="L33" i="2"/>
  <c r="K33" i="2"/>
  <c r="J33" i="2"/>
  <c r="X32" i="2"/>
  <c r="W32" i="2"/>
  <c r="V32" i="2"/>
  <c r="U32" i="2"/>
  <c r="T32" i="2"/>
  <c r="S32" i="2"/>
  <c r="R32" i="2"/>
  <c r="O32" i="2"/>
  <c r="N32" i="2"/>
  <c r="M32" i="2"/>
  <c r="L32" i="2"/>
  <c r="K32" i="2"/>
  <c r="J32" i="2"/>
  <c r="X31" i="2"/>
  <c r="W31" i="2"/>
  <c r="V31" i="2"/>
  <c r="U31" i="2"/>
  <c r="T31" i="2"/>
  <c r="S31" i="2"/>
  <c r="R31" i="2"/>
  <c r="O31" i="2"/>
  <c r="N31" i="2"/>
  <c r="M31" i="2"/>
  <c r="L31" i="2"/>
  <c r="K31" i="2"/>
  <c r="J31" i="2"/>
  <c r="X29" i="2"/>
  <c r="W29" i="2"/>
  <c r="V29" i="2"/>
  <c r="U29" i="2"/>
  <c r="T29" i="2"/>
  <c r="S29" i="2"/>
  <c r="R29" i="2"/>
  <c r="O29" i="2"/>
  <c r="N29" i="2"/>
  <c r="M29" i="2"/>
  <c r="L29" i="2"/>
  <c r="K29" i="2"/>
  <c r="J29" i="2"/>
  <c r="X28" i="2"/>
  <c r="W28" i="2"/>
  <c r="V28" i="2"/>
  <c r="U28" i="2"/>
  <c r="T28" i="2"/>
  <c r="S28" i="2"/>
  <c r="R28" i="2"/>
  <c r="O28" i="2"/>
  <c r="N28" i="2"/>
  <c r="M28" i="2"/>
  <c r="L28" i="2"/>
  <c r="K28" i="2"/>
  <c r="J28" i="2"/>
  <c r="X27" i="2"/>
  <c r="W27" i="2"/>
  <c r="V27" i="2"/>
  <c r="U27" i="2"/>
  <c r="T27" i="2"/>
  <c r="S27" i="2"/>
  <c r="R27" i="2"/>
  <c r="O27" i="2"/>
  <c r="N27" i="2"/>
  <c r="M27" i="2"/>
  <c r="L27" i="2"/>
  <c r="K27" i="2"/>
  <c r="J27" i="2"/>
  <c r="X24" i="2"/>
  <c r="W24" i="2"/>
  <c r="V24" i="2"/>
  <c r="U24" i="2"/>
  <c r="T24" i="2"/>
  <c r="S24" i="2"/>
  <c r="R24" i="2"/>
  <c r="O24" i="2"/>
  <c r="N24" i="2"/>
  <c r="M24" i="2"/>
  <c r="L24" i="2"/>
  <c r="K24" i="2"/>
  <c r="J24" i="2"/>
  <c r="X23" i="2"/>
  <c r="W23" i="2"/>
  <c r="V23" i="2"/>
  <c r="U23" i="2"/>
  <c r="T23" i="2"/>
  <c r="S23" i="2"/>
  <c r="R23" i="2"/>
  <c r="O23" i="2"/>
  <c r="N23" i="2"/>
  <c r="M23" i="2"/>
  <c r="L23" i="2"/>
  <c r="K23" i="2"/>
  <c r="J23" i="2"/>
  <c r="X21" i="2"/>
  <c r="W21" i="2"/>
  <c r="V21" i="2"/>
  <c r="U21" i="2"/>
  <c r="T21" i="2"/>
  <c r="S21" i="2"/>
  <c r="R21" i="2"/>
  <c r="O21" i="2"/>
  <c r="N21" i="2"/>
  <c r="M21" i="2"/>
  <c r="L21" i="2"/>
  <c r="K21" i="2"/>
  <c r="J21" i="2"/>
  <c r="X20" i="2"/>
  <c r="W20" i="2"/>
  <c r="V20" i="2"/>
  <c r="U20" i="2"/>
  <c r="T20" i="2"/>
  <c r="S20" i="2"/>
  <c r="R20" i="2"/>
  <c r="O20" i="2"/>
  <c r="N20" i="2"/>
  <c r="M20" i="2"/>
  <c r="L20" i="2"/>
  <c r="K20" i="2"/>
  <c r="J20" i="2"/>
  <c r="X19" i="2"/>
  <c r="W19" i="2"/>
  <c r="V19" i="2"/>
  <c r="U19" i="2"/>
  <c r="T19" i="2"/>
  <c r="S19" i="2"/>
  <c r="R19" i="2"/>
  <c r="O19" i="2"/>
  <c r="N19" i="2"/>
  <c r="M19" i="2"/>
  <c r="L19" i="2"/>
  <c r="K19" i="2"/>
  <c r="J19" i="2"/>
  <c r="X17" i="2"/>
  <c r="W17" i="2"/>
  <c r="V17" i="2"/>
  <c r="U17" i="2"/>
  <c r="T17" i="2"/>
  <c r="S17" i="2"/>
  <c r="R17" i="2"/>
  <c r="O17" i="2"/>
  <c r="N17" i="2"/>
  <c r="M17" i="2"/>
  <c r="L17" i="2"/>
  <c r="K17" i="2"/>
  <c r="J17" i="2"/>
  <c r="X11" i="2"/>
  <c r="W11" i="2"/>
  <c r="V11" i="2"/>
  <c r="U11" i="2"/>
  <c r="T11" i="2"/>
  <c r="S11" i="2"/>
  <c r="R11" i="2"/>
  <c r="O11" i="2"/>
  <c r="N11" i="2"/>
  <c r="M11" i="2"/>
  <c r="L11" i="2"/>
  <c r="K11" i="2"/>
  <c r="J11" i="2"/>
  <c r="X10" i="2"/>
  <c r="W10" i="2"/>
  <c r="V10" i="2"/>
  <c r="U10" i="2"/>
  <c r="T10" i="2"/>
  <c r="S10" i="2"/>
  <c r="R10" i="2"/>
  <c r="O10" i="2"/>
  <c r="N10" i="2"/>
  <c r="M10" i="2"/>
  <c r="L10" i="2"/>
  <c r="K10" i="2"/>
  <c r="J10" i="2"/>
  <c r="X9" i="2"/>
  <c r="W9" i="2"/>
  <c r="V9" i="2"/>
  <c r="U9" i="2"/>
  <c r="T9" i="2"/>
  <c r="S9" i="2"/>
  <c r="R9" i="2"/>
  <c r="O9" i="2"/>
  <c r="N9" i="2"/>
  <c r="M9" i="2"/>
  <c r="L9" i="2"/>
  <c r="K9" i="2"/>
  <c r="J9" i="2"/>
  <c r="X8" i="2"/>
  <c r="W8" i="2"/>
  <c r="V8" i="2"/>
  <c r="U8" i="2"/>
  <c r="T8" i="2"/>
  <c r="S8" i="2"/>
  <c r="R8" i="2"/>
  <c r="O8" i="2"/>
  <c r="N8" i="2"/>
  <c r="M8" i="2"/>
  <c r="L8" i="2"/>
  <c r="K8" i="2"/>
  <c r="J8" i="2"/>
  <c r="X6" i="2"/>
  <c r="W6" i="2"/>
  <c r="V6" i="2"/>
  <c r="U6" i="2"/>
  <c r="T6" i="2"/>
  <c r="S6" i="2"/>
  <c r="R6" i="2"/>
  <c r="O6" i="2"/>
  <c r="N6" i="2"/>
  <c r="M6" i="2"/>
  <c r="L6" i="2"/>
  <c r="K6" i="2"/>
  <c r="J6" i="2"/>
  <c r="R1" i="2"/>
  <c r="J1" i="2"/>
  <c r="G128" i="1"/>
  <c r="G114" i="1"/>
  <c r="G130" i="1"/>
  <c r="G132" i="1"/>
  <c r="P132" i="1"/>
  <c r="F128" i="1"/>
  <c r="F114" i="1"/>
  <c r="F130" i="1"/>
  <c r="F132" i="1"/>
  <c r="O132" i="1"/>
  <c r="E131" i="1"/>
  <c r="E128" i="1"/>
  <c r="E114" i="1"/>
  <c r="E130" i="1"/>
  <c r="E132" i="1"/>
  <c r="N132" i="1"/>
  <c r="D128" i="1"/>
  <c r="D114" i="1"/>
  <c r="D130" i="1"/>
  <c r="D132" i="1"/>
  <c r="M132" i="1"/>
  <c r="C131" i="1"/>
  <c r="C128" i="1"/>
  <c r="C114" i="1"/>
  <c r="C130" i="1"/>
  <c r="C132" i="1"/>
  <c r="L132" i="1"/>
  <c r="B131" i="1"/>
  <c r="B128" i="1"/>
  <c r="B114" i="1"/>
  <c r="B130" i="1"/>
  <c r="B132" i="1"/>
  <c r="K132" i="1"/>
  <c r="P131" i="1"/>
  <c r="O131" i="1"/>
  <c r="N131" i="1"/>
  <c r="M131" i="1"/>
  <c r="L131" i="1"/>
  <c r="K131" i="1"/>
  <c r="P130" i="1"/>
  <c r="O130" i="1"/>
  <c r="N130" i="1"/>
  <c r="M130" i="1"/>
  <c r="L130" i="1"/>
  <c r="K130" i="1"/>
  <c r="P129" i="1"/>
  <c r="O129" i="1"/>
  <c r="N129" i="1"/>
  <c r="M129" i="1"/>
  <c r="L129" i="1"/>
  <c r="K129" i="1"/>
  <c r="P128" i="1"/>
  <c r="O128" i="1"/>
  <c r="N128" i="1"/>
  <c r="M128" i="1"/>
  <c r="L128" i="1"/>
  <c r="K128" i="1"/>
  <c r="P127" i="1"/>
  <c r="O127" i="1"/>
  <c r="N127" i="1"/>
  <c r="M127" i="1"/>
  <c r="L127" i="1"/>
  <c r="K127" i="1"/>
  <c r="P125" i="1"/>
  <c r="O125" i="1"/>
  <c r="N125" i="1"/>
  <c r="M125" i="1"/>
  <c r="L125" i="1"/>
  <c r="K125" i="1"/>
  <c r="P122" i="1"/>
  <c r="O122" i="1"/>
  <c r="N122" i="1"/>
  <c r="M122" i="1"/>
  <c r="L122" i="1"/>
  <c r="K122" i="1"/>
  <c r="P121" i="1"/>
  <c r="O121" i="1"/>
  <c r="N121" i="1"/>
  <c r="M121" i="1"/>
  <c r="L121" i="1"/>
  <c r="K121" i="1"/>
  <c r="P120" i="1"/>
  <c r="O120" i="1"/>
  <c r="N120" i="1"/>
  <c r="M120" i="1"/>
  <c r="L120" i="1"/>
  <c r="K120" i="1"/>
  <c r="P119" i="1"/>
  <c r="O119" i="1"/>
  <c r="N119" i="1"/>
  <c r="M119" i="1"/>
  <c r="L119" i="1"/>
  <c r="K119" i="1"/>
  <c r="P118" i="1"/>
  <c r="O118" i="1"/>
  <c r="N118" i="1"/>
  <c r="M118" i="1"/>
  <c r="L118" i="1"/>
  <c r="K118" i="1"/>
  <c r="P117" i="1"/>
  <c r="O117" i="1"/>
  <c r="N117" i="1"/>
  <c r="M117" i="1"/>
  <c r="L117" i="1"/>
  <c r="K117" i="1"/>
  <c r="P116" i="1"/>
  <c r="O116" i="1"/>
  <c r="N116" i="1"/>
  <c r="M116" i="1"/>
  <c r="L116" i="1"/>
  <c r="K116" i="1"/>
  <c r="P114" i="1"/>
  <c r="O114" i="1"/>
  <c r="N114" i="1"/>
  <c r="M114" i="1"/>
  <c r="L114" i="1"/>
  <c r="K114" i="1"/>
  <c r="P113" i="1"/>
  <c r="O113" i="1"/>
  <c r="N113" i="1"/>
  <c r="M113" i="1"/>
  <c r="L113" i="1"/>
  <c r="K113" i="1"/>
  <c r="P112" i="1"/>
  <c r="O112" i="1"/>
  <c r="N112" i="1"/>
  <c r="M112" i="1"/>
  <c r="L112" i="1"/>
  <c r="K112" i="1"/>
  <c r="P111" i="1"/>
  <c r="O111" i="1"/>
  <c r="N111" i="1"/>
  <c r="M111" i="1"/>
  <c r="L111" i="1"/>
  <c r="K111" i="1"/>
  <c r="P110" i="1"/>
  <c r="O110" i="1"/>
  <c r="N110" i="1"/>
  <c r="M110" i="1"/>
  <c r="L110" i="1"/>
  <c r="K110" i="1"/>
  <c r="P109" i="1"/>
  <c r="O109" i="1"/>
  <c r="N109" i="1"/>
  <c r="M109" i="1"/>
  <c r="L109" i="1"/>
  <c r="K109" i="1"/>
  <c r="P108" i="1"/>
  <c r="O108" i="1"/>
  <c r="N108" i="1"/>
  <c r="M108" i="1"/>
  <c r="L108" i="1"/>
  <c r="K108" i="1"/>
  <c r="L106" i="1"/>
  <c r="M106" i="1"/>
  <c r="N106" i="1"/>
  <c r="O106" i="1"/>
  <c r="P106" i="1"/>
  <c r="K106" i="1"/>
  <c r="K57" i="1"/>
  <c r="L57" i="1"/>
  <c r="M57" i="1"/>
  <c r="N57" i="1"/>
  <c r="O57" i="1"/>
  <c r="P57" i="1"/>
  <c r="K58" i="1"/>
  <c r="L58" i="1"/>
  <c r="M58" i="1"/>
  <c r="N58" i="1"/>
  <c r="O58" i="1"/>
  <c r="P58" i="1"/>
  <c r="K59" i="1"/>
  <c r="L59" i="1"/>
  <c r="M59" i="1"/>
  <c r="N59" i="1"/>
  <c r="O59" i="1"/>
  <c r="P59" i="1"/>
  <c r="K60" i="1"/>
  <c r="L60" i="1"/>
  <c r="M60" i="1"/>
  <c r="N60" i="1"/>
  <c r="O60" i="1"/>
  <c r="P60" i="1"/>
  <c r="K61" i="1"/>
  <c r="L61" i="1"/>
  <c r="M61" i="1"/>
  <c r="N61" i="1"/>
  <c r="O61" i="1"/>
  <c r="P61" i="1"/>
  <c r="K62" i="1"/>
  <c r="L62" i="1"/>
  <c r="M62" i="1"/>
  <c r="N62" i="1"/>
  <c r="O62" i="1"/>
  <c r="P62" i="1"/>
  <c r="K63" i="1"/>
  <c r="L63" i="1"/>
  <c r="M63" i="1"/>
  <c r="N63" i="1"/>
  <c r="O63" i="1"/>
  <c r="P63" i="1"/>
  <c r="K64" i="1"/>
  <c r="L64" i="1"/>
  <c r="M64" i="1"/>
  <c r="N64" i="1"/>
  <c r="O64" i="1"/>
  <c r="P64" i="1"/>
  <c r="K65" i="1"/>
  <c r="L65" i="1"/>
  <c r="M65" i="1"/>
  <c r="N65" i="1"/>
  <c r="O65" i="1"/>
  <c r="P65" i="1"/>
  <c r="K66" i="1"/>
  <c r="L66" i="1"/>
  <c r="M66" i="1"/>
  <c r="N66" i="1"/>
  <c r="O66" i="1"/>
  <c r="P66" i="1"/>
  <c r="K67" i="1"/>
  <c r="L67" i="1"/>
  <c r="M67" i="1"/>
  <c r="N67" i="1"/>
  <c r="O67" i="1"/>
  <c r="P67" i="1"/>
  <c r="K68" i="1"/>
  <c r="L68" i="1"/>
  <c r="M68" i="1"/>
  <c r="N68" i="1"/>
  <c r="O68" i="1"/>
  <c r="P68" i="1"/>
  <c r="K69" i="1"/>
  <c r="L69" i="1"/>
  <c r="M69" i="1"/>
  <c r="N69" i="1"/>
  <c r="O69" i="1"/>
  <c r="P69" i="1"/>
  <c r="K70" i="1"/>
  <c r="L70" i="1"/>
  <c r="M70" i="1"/>
  <c r="N70" i="1"/>
  <c r="O70" i="1"/>
  <c r="P70" i="1"/>
  <c r="L56" i="1"/>
  <c r="M56" i="1"/>
  <c r="N56" i="1"/>
  <c r="O56" i="1"/>
  <c r="P56" i="1"/>
  <c r="K56" i="1"/>
  <c r="B79" i="1"/>
  <c r="R79" i="1"/>
  <c r="K79" i="1"/>
  <c r="X132" i="1"/>
  <c r="W132" i="1"/>
  <c r="V132" i="1"/>
  <c r="U132" i="1"/>
  <c r="T132" i="1"/>
  <c r="S132" i="1"/>
  <c r="R132" i="1"/>
  <c r="X131" i="1"/>
  <c r="W131" i="1"/>
  <c r="V131" i="1"/>
  <c r="U131" i="1"/>
  <c r="T131" i="1"/>
  <c r="S131" i="1"/>
  <c r="R131" i="1"/>
  <c r="X130" i="1"/>
  <c r="W130" i="1"/>
  <c r="V130" i="1"/>
  <c r="U130" i="1"/>
  <c r="T130" i="1"/>
  <c r="S130" i="1"/>
  <c r="R130" i="1"/>
  <c r="X129" i="1"/>
  <c r="W129" i="1"/>
  <c r="V129" i="1"/>
  <c r="U129" i="1"/>
  <c r="T129" i="1"/>
  <c r="S129" i="1"/>
  <c r="X128" i="1"/>
  <c r="W128" i="1"/>
  <c r="V128" i="1"/>
  <c r="U128" i="1"/>
  <c r="T128" i="1"/>
  <c r="S128" i="1"/>
  <c r="R128" i="1"/>
  <c r="X127" i="1"/>
  <c r="W127" i="1"/>
  <c r="V127" i="1"/>
  <c r="U127" i="1"/>
  <c r="T127" i="1"/>
  <c r="S127" i="1"/>
  <c r="X125" i="1"/>
  <c r="W125" i="1"/>
  <c r="V125" i="1"/>
  <c r="U125" i="1"/>
  <c r="T125" i="1"/>
  <c r="S125" i="1"/>
  <c r="R125" i="1"/>
  <c r="X122" i="1"/>
  <c r="W122" i="1"/>
  <c r="V122" i="1"/>
  <c r="S122" i="1"/>
  <c r="R122" i="1"/>
  <c r="X121" i="1"/>
  <c r="W121" i="1"/>
  <c r="V121" i="1"/>
  <c r="S121" i="1"/>
  <c r="R121" i="1"/>
  <c r="U120" i="1"/>
  <c r="S120" i="1"/>
  <c r="U119" i="1"/>
  <c r="S119" i="1"/>
  <c r="V118" i="1"/>
  <c r="U118" i="1"/>
  <c r="T118" i="1"/>
  <c r="S118" i="1"/>
  <c r="X117" i="1"/>
  <c r="W117" i="1"/>
  <c r="V117" i="1"/>
  <c r="U117" i="1"/>
  <c r="S117" i="1"/>
  <c r="R117" i="1"/>
  <c r="X116" i="1"/>
  <c r="W116" i="1"/>
  <c r="V116" i="1"/>
  <c r="U116" i="1"/>
  <c r="T116" i="1"/>
  <c r="S116" i="1"/>
  <c r="R116" i="1"/>
  <c r="X114" i="1"/>
  <c r="W114" i="1"/>
  <c r="V114" i="1"/>
  <c r="U114" i="1"/>
  <c r="T114" i="1"/>
  <c r="S114" i="1"/>
  <c r="X113" i="1"/>
  <c r="W113" i="1"/>
  <c r="V113" i="1"/>
  <c r="U113" i="1"/>
  <c r="T113" i="1"/>
  <c r="S113" i="1"/>
  <c r="R113" i="1"/>
  <c r="W112" i="1"/>
  <c r="V112" i="1"/>
  <c r="T112" i="1"/>
  <c r="S112" i="1"/>
  <c r="W111" i="1"/>
  <c r="V111" i="1"/>
  <c r="U111" i="1"/>
  <c r="T111" i="1"/>
  <c r="S111" i="1"/>
  <c r="W110" i="1"/>
  <c r="V110" i="1"/>
  <c r="T110" i="1"/>
  <c r="S110" i="1"/>
  <c r="X109" i="1"/>
  <c r="W109" i="1"/>
  <c r="S109" i="1"/>
  <c r="R109" i="1"/>
  <c r="X108" i="1"/>
  <c r="W108" i="1"/>
  <c r="V108" i="1"/>
  <c r="U108" i="1"/>
  <c r="T108" i="1"/>
  <c r="S108" i="1"/>
  <c r="R108" i="1"/>
  <c r="X106" i="1"/>
  <c r="W106" i="1"/>
  <c r="V106" i="1"/>
  <c r="U106" i="1"/>
  <c r="T106" i="1"/>
  <c r="S106" i="1"/>
  <c r="R106" i="1"/>
  <c r="X105" i="1"/>
  <c r="W105" i="1"/>
  <c r="V105" i="1"/>
  <c r="U105" i="1"/>
  <c r="T105" i="1"/>
  <c r="S105" i="1"/>
  <c r="X104" i="1"/>
  <c r="W104" i="1"/>
  <c r="V104" i="1"/>
  <c r="U104" i="1"/>
  <c r="T104" i="1"/>
  <c r="S104" i="1"/>
  <c r="R104" i="1"/>
  <c r="X103" i="1"/>
  <c r="W103" i="1"/>
  <c r="V103" i="1"/>
  <c r="U103" i="1"/>
  <c r="T103" i="1"/>
  <c r="S103" i="1"/>
  <c r="R103" i="1"/>
  <c r="X102" i="1"/>
  <c r="W102" i="1"/>
  <c r="V102" i="1"/>
  <c r="U102" i="1"/>
  <c r="T102" i="1"/>
  <c r="S102" i="1"/>
  <c r="R102" i="1"/>
  <c r="X101" i="1"/>
  <c r="W101" i="1"/>
  <c r="V101" i="1"/>
  <c r="U101" i="1"/>
  <c r="T101" i="1"/>
  <c r="S101" i="1"/>
  <c r="R101" i="1"/>
  <c r="X99" i="1"/>
  <c r="W99" i="1"/>
  <c r="V99" i="1"/>
  <c r="U99" i="1"/>
  <c r="T99" i="1"/>
  <c r="S99" i="1"/>
  <c r="R99" i="1"/>
  <c r="X98" i="1"/>
  <c r="W98" i="1"/>
  <c r="V98" i="1"/>
  <c r="U98" i="1"/>
  <c r="T98" i="1"/>
  <c r="S98" i="1"/>
  <c r="R98" i="1"/>
  <c r="U97" i="1"/>
  <c r="T97" i="1"/>
  <c r="S97" i="1"/>
  <c r="T96" i="1"/>
  <c r="S96" i="1"/>
  <c r="W95" i="1"/>
  <c r="V95" i="1"/>
  <c r="U95" i="1"/>
  <c r="T95" i="1"/>
  <c r="S95" i="1"/>
  <c r="X93" i="1"/>
  <c r="W93" i="1"/>
  <c r="V93" i="1"/>
  <c r="U93" i="1"/>
  <c r="S93" i="1"/>
  <c r="R93" i="1"/>
  <c r="X92" i="1"/>
  <c r="W92" i="1"/>
  <c r="V92" i="1"/>
  <c r="U92" i="1"/>
  <c r="T92" i="1"/>
  <c r="S92" i="1"/>
  <c r="R92" i="1"/>
  <c r="X91" i="1"/>
  <c r="W91" i="1"/>
  <c r="V91" i="1"/>
  <c r="U91" i="1"/>
  <c r="T91" i="1"/>
  <c r="S91" i="1"/>
  <c r="R91" i="1"/>
  <c r="X90" i="1"/>
  <c r="W90" i="1"/>
  <c r="V90" i="1"/>
  <c r="U90" i="1"/>
  <c r="T90" i="1"/>
  <c r="S90" i="1"/>
  <c r="R90" i="1"/>
  <c r="X89" i="1"/>
  <c r="W89" i="1"/>
  <c r="V89" i="1"/>
  <c r="U89" i="1"/>
  <c r="T89" i="1"/>
  <c r="S89" i="1"/>
  <c r="R89" i="1"/>
  <c r="T87" i="1"/>
  <c r="S87" i="1"/>
  <c r="X85" i="1"/>
  <c r="W85" i="1"/>
  <c r="V85" i="1"/>
  <c r="U85" i="1"/>
  <c r="T85" i="1"/>
  <c r="S85" i="1"/>
  <c r="R85" i="1"/>
  <c r="X84" i="1"/>
  <c r="W84" i="1"/>
  <c r="V84" i="1"/>
  <c r="U84" i="1"/>
  <c r="T84" i="1"/>
  <c r="S84" i="1"/>
  <c r="R84" i="1"/>
  <c r="X83" i="1"/>
  <c r="W83" i="1"/>
  <c r="V83" i="1"/>
  <c r="U83" i="1"/>
  <c r="T83" i="1"/>
  <c r="S83" i="1"/>
  <c r="R83" i="1"/>
  <c r="X76" i="1"/>
  <c r="W76" i="1"/>
  <c r="V76" i="1"/>
  <c r="U76" i="1"/>
  <c r="T76" i="1"/>
  <c r="S76" i="1"/>
  <c r="R76" i="1"/>
  <c r="F75" i="1"/>
  <c r="G75" i="1"/>
  <c r="X75" i="1"/>
  <c r="E75" i="1"/>
  <c r="W75" i="1"/>
  <c r="D75" i="1"/>
  <c r="V75" i="1"/>
  <c r="C75" i="1"/>
  <c r="U75" i="1"/>
  <c r="B75" i="1"/>
  <c r="T75" i="1"/>
  <c r="S75" i="1"/>
  <c r="R75" i="1"/>
  <c r="X74" i="1"/>
  <c r="W74" i="1"/>
  <c r="V74" i="1"/>
  <c r="U74" i="1"/>
  <c r="T74" i="1"/>
  <c r="S74" i="1"/>
  <c r="R74" i="1"/>
  <c r="X70" i="1"/>
  <c r="W70" i="1"/>
  <c r="V70" i="1"/>
  <c r="U70" i="1"/>
  <c r="T70" i="1"/>
  <c r="S70" i="1"/>
  <c r="R70" i="1"/>
  <c r="X69" i="1"/>
  <c r="W69" i="1"/>
  <c r="V69" i="1"/>
  <c r="U69" i="1"/>
  <c r="T69" i="1"/>
  <c r="S69" i="1"/>
  <c r="X68" i="1"/>
  <c r="W68" i="1"/>
  <c r="V68" i="1"/>
  <c r="U68" i="1"/>
  <c r="T68" i="1"/>
  <c r="S68" i="1"/>
  <c r="R68" i="1"/>
  <c r="X67" i="1"/>
  <c r="W67" i="1"/>
  <c r="V67" i="1"/>
  <c r="U67" i="1"/>
  <c r="T67" i="1"/>
  <c r="S67" i="1"/>
  <c r="X66" i="1"/>
  <c r="W66" i="1"/>
  <c r="V66" i="1"/>
  <c r="U66" i="1"/>
  <c r="T66" i="1"/>
  <c r="S66" i="1"/>
  <c r="R66" i="1"/>
  <c r="X65" i="1"/>
  <c r="W65" i="1"/>
  <c r="V65" i="1"/>
  <c r="U65" i="1"/>
  <c r="T65" i="1"/>
  <c r="S65" i="1"/>
  <c r="R65" i="1"/>
  <c r="X64" i="1"/>
  <c r="W64" i="1"/>
  <c r="V64" i="1"/>
  <c r="U64" i="1"/>
  <c r="T64" i="1"/>
  <c r="S64" i="1"/>
  <c r="R64" i="1"/>
  <c r="X63" i="1"/>
  <c r="W63" i="1"/>
  <c r="V63" i="1"/>
  <c r="U63" i="1"/>
  <c r="T63" i="1"/>
  <c r="S63" i="1"/>
  <c r="R63" i="1"/>
  <c r="X62" i="1"/>
  <c r="W62" i="1"/>
  <c r="V62" i="1"/>
  <c r="U62" i="1"/>
  <c r="T62" i="1"/>
  <c r="S62" i="1"/>
  <c r="R62" i="1"/>
  <c r="X61" i="1"/>
  <c r="W61" i="1"/>
  <c r="V61" i="1"/>
  <c r="U61" i="1"/>
  <c r="T61" i="1"/>
  <c r="S61" i="1"/>
  <c r="R61" i="1"/>
  <c r="W60" i="1"/>
  <c r="V60" i="1"/>
  <c r="U60" i="1"/>
  <c r="T60" i="1"/>
  <c r="S60" i="1"/>
  <c r="X59" i="1"/>
  <c r="W59" i="1"/>
  <c r="V59" i="1"/>
  <c r="U59" i="1"/>
  <c r="T59" i="1"/>
  <c r="S59" i="1"/>
  <c r="R59" i="1"/>
  <c r="X58" i="1"/>
  <c r="W58" i="1"/>
  <c r="V58" i="1"/>
  <c r="U58" i="1"/>
  <c r="T58" i="1"/>
  <c r="S58" i="1"/>
  <c r="R58" i="1"/>
  <c r="X57" i="1"/>
  <c r="W57" i="1"/>
  <c r="V57" i="1"/>
  <c r="U57" i="1"/>
  <c r="T57" i="1"/>
  <c r="S57" i="1"/>
  <c r="R57" i="1"/>
  <c r="X56" i="1"/>
  <c r="W56" i="1"/>
  <c r="V56" i="1"/>
  <c r="U56" i="1"/>
  <c r="T56" i="1"/>
  <c r="S56" i="1"/>
  <c r="R56" i="1"/>
  <c r="B52" i="1"/>
  <c r="R52" i="1"/>
  <c r="K52" i="1"/>
  <c r="F43" i="1"/>
  <c r="F28" i="1"/>
  <c r="F34" i="1"/>
  <c r="F44" i="1"/>
  <c r="G43" i="1"/>
  <c r="G28" i="1"/>
  <c r="G34" i="1"/>
  <c r="G44" i="1"/>
  <c r="X44" i="1"/>
  <c r="E43" i="1"/>
  <c r="E28" i="1"/>
  <c r="E34" i="1"/>
  <c r="E44" i="1"/>
  <c r="W44" i="1"/>
  <c r="D43" i="1"/>
  <c r="D28" i="1"/>
  <c r="D34" i="1"/>
  <c r="D44" i="1"/>
  <c r="V44" i="1"/>
  <c r="C43" i="1"/>
  <c r="C28" i="1"/>
  <c r="C34" i="1"/>
  <c r="C44" i="1"/>
  <c r="U44" i="1"/>
  <c r="B43" i="1"/>
  <c r="B28" i="1"/>
  <c r="B34" i="1"/>
  <c r="B44" i="1"/>
  <c r="T44" i="1"/>
  <c r="S44" i="1"/>
  <c r="R44" i="1"/>
  <c r="P44" i="1"/>
  <c r="O44" i="1"/>
  <c r="N44" i="1"/>
  <c r="M44" i="1"/>
  <c r="L44" i="1"/>
  <c r="K44" i="1"/>
  <c r="X43" i="1"/>
  <c r="W43" i="1"/>
  <c r="V43" i="1"/>
  <c r="U43" i="1"/>
  <c r="T43" i="1"/>
  <c r="S43" i="1"/>
  <c r="R43" i="1"/>
  <c r="P43" i="1"/>
  <c r="O43" i="1"/>
  <c r="N43" i="1"/>
  <c r="M43" i="1"/>
  <c r="L43" i="1"/>
  <c r="K43" i="1"/>
  <c r="X42" i="1"/>
  <c r="W42" i="1"/>
  <c r="V42" i="1"/>
  <c r="U42" i="1"/>
  <c r="T42" i="1"/>
  <c r="S42" i="1"/>
  <c r="R42" i="1"/>
  <c r="P42" i="1"/>
  <c r="O42" i="1"/>
  <c r="N42" i="1"/>
  <c r="M42" i="1"/>
  <c r="L42" i="1"/>
  <c r="K42" i="1"/>
  <c r="X41" i="1"/>
  <c r="W41" i="1"/>
  <c r="V41" i="1"/>
  <c r="U41" i="1"/>
  <c r="T41" i="1"/>
  <c r="S41" i="1"/>
  <c r="R41" i="1"/>
  <c r="P41" i="1"/>
  <c r="O41" i="1"/>
  <c r="N41" i="1"/>
  <c r="M41" i="1"/>
  <c r="L41" i="1"/>
  <c r="K41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X39" i="1"/>
  <c r="W39" i="1"/>
  <c r="V39" i="1"/>
  <c r="U39" i="1"/>
  <c r="T39" i="1"/>
  <c r="S39" i="1"/>
  <c r="R39" i="1"/>
  <c r="P39" i="1"/>
  <c r="O39" i="1"/>
  <c r="N39" i="1"/>
  <c r="M39" i="1"/>
  <c r="L39" i="1"/>
  <c r="K39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X37" i="1"/>
  <c r="W37" i="1"/>
  <c r="V37" i="1"/>
  <c r="U37" i="1"/>
  <c r="T37" i="1"/>
  <c r="S37" i="1"/>
  <c r="R37" i="1"/>
  <c r="P37" i="1"/>
  <c r="O37" i="1"/>
  <c r="N37" i="1"/>
  <c r="M37" i="1"/>
  <c r="L37" i="1"/>
  <c r="K37" i="1"/>
  <c r="X35" i="1"/>
  <c r="W35" i="1"/>
  <c r="T35" i="1"/>
  <c r="S35" i="1"/>
  <c r="R35" i="1"/>
  <c r="P35" i="1"/>
  <c r="O35" i="1"/>
  <c r="N35" i="1"/>
  <c r="M35" i="1"/>
  <c r="L35" i="1"/>
  <c r="K35" i="1"/>
  <c r="X34" i="1"/>
  <c r="W34" i="1"/>
  <c r="V34" i="1"/>
  <c r="U34" i="1"/>
  <c r="T34" i="1"/>
  <c r="S34" i="1"/>
  <c r="R34" i="1"/>
  <c r="P34" i="1"/>
  <c r="O34" i="1"/>
  <c r="N34" i="1"/>
  <c r="M34" i="1"/>
  <c r="L34" i="1"/>
  <c r="K34" i="1"/>
  <c r="X33" i="1"/>
  <c r="W33" i="1"/>
  <c r="V33" i="1"/>
  <c r="U33" i="1"/>
  <c r="T33" i="1"/>
  <c r="S33" i="1"/>
  <c r="R33" i="1"/>
  <c r="P33" i="1"/>
  <c r="O33" i="1"/>
  <c r="N33" i="1"/>
  <c r="M33" i="1"/>
  <c r="L33" i="1"/>
  <c r="K33" i="1"/>
  <c r="T32" i="1"/>
  <c r="S32" i="1"/>
  <c r="P32" i="1"/>
  <c r="O32" i="1"/>
  <c r="N32" i="1"/>
  <c r="M32" i="1"/>
  <c r="L32" i="1"/>
  <c r="K32" i="1"/>
  <c r="X31" i="1"/>
  <c r="W31" i="1"/>
  <c r="V31" i="1"/>
  <c r="U31" i="1"/>
  <c r="T31" i="1"/>
  <c r="S31" i="1"/>
  <c r="R31" i="1"/>
  <c r="P31" i="1"/>
  <c r="O31" i="1"/>
  <c r="N31" i="1"/>
  <c r="M31" i="1"/>
  <c r="L31" i="1"/>
  <c r="K31" i="1"/>
  <c r="X30" i="1"/>
  <c r="W30" i="1"/>
  <c r="V30" i="1"/>
  <c r="U30" i="1"/>
  <c r="T30" i="1"/>
  <c r="S30" i="1"/>
  <c r="R30" i="1"/>
  <c r="P30" i="1"/>
  <c r="O30" i="1"/>
  <c r="N30" i="1"/>
  <c r="M30" i="1"/>
  <c r="L30" i="1"/>
  <c r="K30" i="1"/>
  <c r="X29" i="1"/>
  <c r="W29" i="1"/>
  <c r="V29" i="1"/>
  <c r="U29" i="1"/>
  <c r="T29" i="1"/>
  <c r="S29" i="1"/>
  <c r="R29" i="1"/>
  <c r="P29" i="1"/>
  <c r="O29" i="1"/>
  <c r="N29" i="1"/>
  <c r="M29" i="1"/>
  <c r="L29" i="1"/>
  <c r="K29" i="1"/>
  <c r="X28" i="1"/>
  <c r="W28" i="1"/>
  <c r="V28" i="1"/>
  <c r="U28" i="1"/>
  <c r="T28" i="1"/>
  <c r="S28" i="1"/>
  <c r="R28" i="1"/>
  <c r="P28" i="1"/>
  <c r="O28" i="1"/>
  <c r="N28" i="1"/>
  <c r="M28" i="1"/>
  <c r="L28" i="1"/>
  <c r="K28" i="1"/>
  <c r="X27" i="1"/>
  <c r="W27" i="1"/>
  <c r="V27" i="1"/>
  <c r="U27" i="1"/>
  <c r="T27" i="1"/>
  <c r="S27" i="1"/>
  <c r="R27" i="1"/>
  <c r="P27" i="1"/>
  <c r="O27" i="1"/>
  <c r="N27" i="1"/>
  <c r="M27" i="1"/>
  <c r="L27" i="1"/>
  <c r="K27" i="1"/>
  <c r="W26" i="1"/>
  <c r="V26" i="1"/>
  <c r="U26" i="1"/>
  <c r="S26" i="1"/>
  <c r="P26" i="1"/>
  <c r="O26" i="1"/>
  <c r="N26" i="1"/>
  <c r="M26" i="1"/>
  <c r="L26" i="1"/>
  <c r="K26" i="1"/>
  <c r="T25" i="1"/>
  <c r="S25" i="1"/>
  <c r="P25" i="1"/>
  <c r="O25" i="1"/>
  <c r="N25" i="1"/>
  <c r="M25" i="1"/>
  <c r="L25" i="1"/>
  <c r="K25" i="1"/>
  <c r="X24" i="1"/>
  <c r="W24" i="1"/>
  <c r="V24" i="1"/>
  <c r="U24" i="1"/>
  <c r="T24" i="1"/>
  <c r="S24" i="1"/>
  <c r="R24" i="1"/>
  <c r="P24" i="1"/>
  <c r="O24" i="1"/>
  <c r="N24" i="1"/>
  <c r="M24" i="1"/>
  <c r="L24" i="1"/>
  <c r="K24" i="1"/>
  <c r="X23" i="1"/>
  <c r="W23" i="1"/>
  <c r="V23" i="1"/>
  <c r="U23" i="1"/>
  <c r="T23" i="1"/>
  <c r="S23" i="1"/>
  <c r="R23" i="1"/>
  <c r="P23" i="1"/>
  <c r="O23" i="1"/>
  <c r="N23" i="1"/>
  <c r="M23" i="1"/>
  <c r="L23" i="1"/>
  <c r="K23" i="1"/>
  <c r="X22" i="1"/>
  <c r="W22" i="1"/>
  <c r="V22" i="1"/>
  <c r="U22" i="1"/>
  <c r="T22" i="1"/>
  <c r="S22" i="1"/>
  <c r="R22" i="1"/>
  <c r="P22" i="1"/>
  <c r="O22" i="1"/>
  <c r="N22" i="1"/>
  <c r="M22" i="1"/>
  <c r="L22" i="1"/>
  <c r="K22" i="1"/>
  <c r="X21" i="1"/>
  <c r="W21" i="1"/>
  <c r="V21" i="1"/>
  <c r="U21" i="1"/>
  <c r="T21" i="1"/>
  <c r="S21" i="1"/>
  <c r="R21" i="1"/>
  <c r="P21" i="1"/>
  <c r="O21" i="1"/>
  <c r="N21" i="1"/>
  <c r="M21" i="1"/>
  <c r="L21" i="1"/>
  <c r="K21" i="1"/>
  <c r="X20" i="1"/>
  <c r="W20" i="1"/>
  <c r="V20" i="1"/>
  <c r="U20" i="1"/>
  <c r="T20" i="1"/>
  <c r="S20" i="1"/>
  <c r="R20" i="1"/>
  <c r="P20" i="1"/>
  <c r="O20" i="1"/>
  <c r="N20" i="1"/>
  <c r="M20" i="1"/>
  <c r="L20" i="1"/>
  <c r="K20" i="1"/>
  <c r="K7" i="1"/>
  <c r="L7" i="1"/>
  <c r="M7" i="1"/>
  <c r="N7" i="1"/>
  <c r="O7" i="1"/>
  <c r="P7" i="1"/>
  <c r="R7" i="1"/>
  <c r="T7" i="1"/>
  <c r="U7" i="1"/>
  <c r="V7" i="1"/>
  <c r="W7" i="1"/>
  <c r="X7" i="1"/>
  <c r="S7" i="1"/>
  <c r="K8" i="1"/>
  <c r="L8" i="1"/>
  <c r="M8" i="1"/>
  <c r="N8" i="1"/>
  <c r="O8" i="1"/>
  <c r="P8" i="1"/>
  <c r="R8" i="1"/>
  <c r="S8" i="1"/>
  <c r="W8" i="1"/>
  <c r="X8" i="1"/>
  <c r="K9" i="1"/>
  <c r="L9" i="1"/>
  <c r="M9" i="1"/>
  <c r="N9" i="1"/>
  <c r="O9" i="1"/>
  <c r="P9" i="1"/>
  <c r="R9" i="1"/>
  <c r="T9" i="1"/>
  <c r="U9" i="1"/>
  <c r="V9" i="1"/>
  <c r="W9" i="1"/>
  <c r="X9" i="1"/>
  <c r="S9" i="1"/>
  <c r="K10" i="1"/>
  <c r="L10" i="1"/>
  <c r="M10" i="1"/>
  <c r="N10" i="1"/>
  <c r="O10" i="1"/>
  <c r="P10" i="1"/>
  <c r="R10" i="1"/>
  <c r="T10" i="1"/>
  <c r="U10" i="1"/>
  <c r="V10" i="1"/>
  <c r="W10" i="1"/>
  <c r="X10" i="1"/>
  <c r="S10" i="1"/>
  <c r="K11" i="1"/>
  <c r="L11" i="1"/>
  <c r="M11" i="1"/>
  <c r="N11" i="1"/>
  <c r="O11" i="1"/>
  <c r="P11" i="1"/>
  <c r="R11" i="1"/>
  <c r="T11" i="1"/>
  <c r="U11" i="1"/>
  <c r="V11" i="1"/>
  <c r="W11" i="1"/>
  <c r="X11" i="1"/>
  <c r="S11" i="1"/>
  <c r="K12" i="1"/>
  <c r="L12" i="1"/>
  <c r="M12" i="1"/>
  <c r="N12" i="1"/>
  <c r="O12" i="1"/>
  <c r="P12" i="1"/>
  <c r="R12" i="1"/>
  <c r="T12" i="1"/>
  <c r="U12" i="1"/>
  <c r="V12" i="1"/>
  <c r="W12" i="1"/>
  <c r="X12" i="1"/>
  <c r="S12" i="1"/>
  <c r="K13" i="1"/>
  <c r="L13" i="1"/>
  <c r="M13" i="1"/>
  <c r="N13" i="1"/>
  <c r="O13" i="1"/>
  <c r="P13" i="1"/>
  <c r="R13" i="1"/>
  <c r="T13" i="1"/>
  <c r="U13" i="1"/>
  <c r="V13" i="1"/>
  <c r="W13" i="1"/>
  <c r="X13" i="1"/>
  <c r="S13" i="1"/>
  <c r="K14" i="1"/>
  <c r="L14" i="1"/>
  <c r="M14" i="1"/>
  <c r="N14" i="1"/>
  <c r="O14" i="1"/>
  <c r="P14" i="1"/>
  <c r="R14" i="1"/>
  <c r="T14" i="1"/>
  <c r="U14" i="1"/>
  <c r="V14" i="1"/>
  <c r="W14" i="1"/>
  <c r="X14" i="1"/>
  <c r="S14" i="1"/>
  <c r="K15" i="1"/>
  <c r="L15" i="1"/>
  <c r="M15" i="1"/>
  <c r="N15" i="1"/>
  <c r="O15" i="1"/>
  <c r="P15" i="1"/>
  <c r="R15" i="1"/>
  <c r="T15" i="1"/>
  <c r="U15" i="1"/>
  <c r="V15" i="1"/>
  <c r="W15" i="1"/>
  <c r="X15" i="1"/>
  <c r="S15" i="1"/>
  <c r="K16" i="1"/>
  <c r="L16" i="1"/>
  <c r="M16" i="1"/>
  <c r="N16" i="1"/>
  <c r="O16" i="1"/>
  <c r="P16" i="1"/>
  <c r="R16" i="1"/>
  <c r="T16" i="1"/>
  <c r="U16" i="1"/>
  <c r="V16" i="1"/>
  <c r="W16" i="1"/>
  <c r="X16" i="1"/>
  <c r="S16" i="1"/>
  <c r="K17" i="1"/>
  <c r="L17" i="1"/>
  <c r="M17" i="1"/>
  <c r="N17" i="1"/>
  <c r="O17" i="1"/>
  <c r="P17" i="1"/>
  <c r="R17" i="1"/>
  <c r="T17" i="1"/>
  <c r="U17" i="1"/>
  <c r="V17" i="1"/>
  <c r="W17" i="1"/>
  <c r="X17" i="1"/>
  <c r="S17" i="1"/>
  <c r="K18" i="1"/>
  <c r="L18" i="1"/>
  <c r="M18" i="1"/>
  <c r="N18" i="1"/>
  <c r="O18" i="1"/>
  <c r="P18" i="1"/>
  <c r="R18" i="1"/>
  <c r="T18" i="1"/>
  <c r="U18" i="1"/>
  <c r="V18" i="1"/>
  <c r="W18" i="1"/>
  <c r="X18" i="1"/>
  <c r="S18" i="1"/>
  <c r="T6" i="1"/>
  <c r="U6" i="1"/>
  <c r="V6" i="1"/>
  <c r="W6" i="1"/>
  <c r="X6" i="1"/>
  <c r="S6" i="1"/>
  <c r="R6" i="1"/>
  <c r="R1" i="1"/>
  <c r="L6" i="1"/>
  <c r="M6" i="1"/>
  <c r="N6" i="1"/>
  <c r="O6" i="1"/>
  <c r="P6" i="1"/>
  <c r="K6" i="1"/>
  <c r="K1" i="1"/>
  <c r="C151" i="1"/>
  <c r="C149" i="1"/>
  <c r="C148" i="1"/>
  <c r="D151" i="1"/>
  <c r="D149" i="1"/>
  <c r="D148" i="1"/>
  <c r="E151" i="1"/>
  <c r="E149" i="1"/>
  <c r="E148" i="1"/>
  <c r="F151" i="1"/>
  <c r="F149" i="1"/>
  <c r="F148" i="1"/>
  <c r="G151" i="1"/>
  <c r="G149" i="1"/>
  <c r="G148" i="1"/>
  <c r="B151" i="1"/>
  <c r="B149" i="1"/>
  <c r="B148" i="1"/>
  <c r="B139" i="1"/>
  <c r="A142" i="1"/>
  <c r="A141" i="1"/>
  <c r="A139" i="1"/>
  <c r="C133" i="1"/>
  <c r="D133" i="1"/>
  <c r="E133" i="1"/>
  <c r="F133" i="1"/>
  <c r="G133" i="1"/>
  <c r="B133" i="1"/>
  <c r="A82" i="1"/>
  <c r="A81" i="1"/>
  <c r="A79" i="1"/>
  <c r="A55" i="1"/>
  <c r="A54" i="1"/>
  <c r="A52" i="1"/>
  <c r="C45" i="1"/>
  <c r="D45" i="1"/>
  <c r="E45" i="1"/>
  <c r="F45" i="1"/>
  <c r="G45" i="1"/>
  <c r="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DeGeorge</author>
  </authors>
  <commentList>
    <comment ref="B47" authorId="0" shapeId="0" xr:uid="{F1FEFCF8-89E6-45D7-8F57-BAD8CA99EF7E}">
      <text>
        <r>
          <rPr>
            <b/>
            <sz val="9"/>
            <color indexed="81"/>
            <rFont val="Tahoma"/>
            <family val="2"/>
          </rPr>
          <t>Frank DeGeorge:</t>
        </r>
        <r>
          <rPr>
            <sz val="9"/>
            <color indexed="81"/>
            <rFont val="Tahoma"/>
            <family val="2"/>
          </rPr>
          <t xml:space="preserve">
From S-4 Registration Stament issued 4/10/15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tc={C1BFEAC1-9582-4874-9AC5-C0D40B5B479A}</author>
  </authors>
  <commentList>
    <comment ref="G177" authorId="0" shapeId="0" xr:uid="{C1BFEAC1-9582-4874-9AC5-C0D40B5B47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tc={6ACB0142-BFED-417B-A861-95E1F9540705}</author>
  </authors>
  <commentList>
    <comment ref="G377" authorId="0" shapeId="0" xr:uid="{6ACB0142-BFED-417B-A861-95E1F95407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<sst xmlns="http://schemas.openxmlformats.org/spreadsheetml/2006/main" count="2360" uniqueCount="522">
  <si>
    <t>Kraft Heinz Company</t>
  </si>
  <si>
    <t>In July of 2015 Heinz acquired all of the stock of Kraft in exchange for $42.855B worth of new Kraft Heinz stock.</t>
  </si>
  <si>
    <t>2015 Acquisition of Kraft by Heinz</t>
  </si>
  <si>
    <t>In addition, the Kraft shareholders received a special cash dividend of $16.50 per share ($9.782B).</t>
  </si>
  <si>
    <t>In millions except per share data</t>
  </si>
  <si>
    <t>Total consideration was $52.6B or $88.79 per share representing a 31% control premium.</t>
  </si>
  <si>
    <t>Goodwill and intangible assets acquired were valued at $78.8B including $65.1B created via this transaction.</t>
  </si>
  <si>
    <t>The transaction was expected to result in 51%/49% ownership of Kraft Heinz in favor of the Heinz shareholders.</t>
  </si>
  <si>
    <t>Based on the valuation of Kraft, the new company (Kraft Heinz) was valued at $87.5 billion and Heinz was valued at $44.6B.</t>
  </si>
  <si>
    <t>Combined</t>
  </si>
  <si>
    <t>Heinz</t>
  </si>
  <si>
    <t>Acquisition of</t>
  </si>
  <si>
    <t>FYE Near 12/31:</t>
  </si>
  <si>
    <t>Change</t>
  </si>
  <si>
    <t>Kraft</t>
  </si>
  <si>
    <t>(From acquisition footnote)</t>
  </si>
  <si>
    <t>Assets</t>
  </si>
  <si>
    <t>Cash and Equivalents</t>
  </si>
  <si>
    <t>Trade receivables</t>
  </si>
  <si>
    <t>Inventories</t>
  </si>
  <si>
    <t>Other current assets</t>
  </si>
  <si>
    <t>Total current assets</t>
  </si>
  <si>
    <t>PP&amp;E - Net</t>
  </si>
  <si>
    <t>Goodwill</t>
  </si>
  <si>
    <t>Other intangibles</t>
  </si>
  <si>
    <t>Other assets</t>
  </si>
  <si>
    <t>Total assets</t>
  </si>
  <si>
    <t>Liabilities and Equity:</t>
  </si>
  <si>
    <t>Accounts payable</t>
  </si>
  <si>
    <t>Other current liabilities</t>
  </si>
  <si>
    <t>Total current liabilities</t>
  </si>
  <si>
    <t>Long-term debt</t>
  </si>
  <si>
    <t>Other liabilities</t>
  </si>
  <si>
    <t>Total liabilities and redeemable NCI)</t>
  </si>
  <si>
    <t>Preferred stock</t>
  </si>
  <si>
    <t>Common Equity</t>
  </si>
  <si>
    <t>Total liabilities and equity</t>
  </si>
  <si>
    <t>Net Cash used in acquisition</t>
  </si>
  <si>
    <t>Cash acquired</t>
  </si>
  <si>
    <t>Special cash dividend paid ($16.50 per share)</t>
  </si>
  <si>
    <t>Shares</t>
  </si>
  <si>
    <t>Price per share</t>
  </si>
  <si>
    <t>Total consideration</t>
  </si>
  <si>
    <t>Including special dividend</t>
  </si>
  <si>
    <t>Kraft stock price immediately prior to merger announcemt</t>
  </si>
  <si>
    <t>Control Premium to Kraft shareholders.</t>
  </si>
  <si>
    <t>Kraft Foods</t>
  </si>
  <si>
    <t>Last Balance Sheet compared to Valuation</t>
  </si>
  <si>
    <t>Alone</t>
  </si>
  <si>
    <t>(see above)</t>
  </si>
  <si>
    <t>Kraft Heinz Inc</t>
  </si>
  <si>
    <t>Stock Price And Dividen History</t>
  </si>
  <si>
    <t>Closing Stock</t>
  </si>
  <si>
    <t>December 31:</t>
  </si>
  <si>
    <t>Price</t>
  </si>
  <si>
    <t>Dividends</t>
  </si>
  <si>
    <t>Big drop Nov 2018 - Feb 2019</t>
  </si>
  <si>
    <t>Bleeding started in Nov. 2017</t>
  </si>
  <si>
    <t>High at 97.77 in February 2017</t>
  </si>
  <si>
    <t>July 2, 2015</t>
  </si>
  <si>
    <t>As reported</t>
  </si>
  <si>
    <t>Consolidated Balance Sheets</t>
  </si>
  <si>
    <t>Common Size on Total Assets</t>
  </si>
  <si>
    <t>Horizontal(Growth)  Analysis</t>
  </si>
  <si>
    <t>in millions except per share data</t>
  </si>
  <si>
    <t>Late Filing</t>
  </si>
  <si>
    <t>Restated</t>
  </si>
  <si>
    <t>5 Year</t>
  </si>
  <si>
    <t>Annual</t>
  </si>
  <si>
    <t>2021 to</t>
  </si>
  <si>
    <t>2020 to</t>
  </si>
  <si>
    <t>2019 to</t>
  </si>
  <si>
    <t>2018 to</t>
  </si>
  <si>
    <t>2017 to</t>
  </si>
  <si>
    <t>Year ended near 12/31:</t>
  </si>
  <si>
    <t>CAGR</t>
  </si>
  <si>
    <t>Average</t>
  </si>
  <si>
    <t>Assets:</t>
  </si>
  <si>
    <t>Cash and equivalents</t>
  </si>
  <si>
    <t>Income tax receivable</t>
  </si>
  <si>
    <t>Prepaid expenses</t>
  </si>
  <si>
    <t>Assets held for sale</t>
  </si>
  <si>
    <t>Property, plant &amp; equipment - net</t>
  </si>
  <si>
    <t>Intangible assets</t>
  </si>
  <si>
    <t>Total Assets</t>
  </si>
  <si>
    <t>Liabilities and Equity</t>
  </si>
  <si>
    <t>Short-term Debt</t>
  </si>
  <si>
    <t>Current portion of LT Debt</t>
  </si>
  <si>
    <t>Trade payables</t>
  </si>
  <si>
    <t>Accrued marketing</t>
  </si>
  <si>
    <t>Interest payable</t>
  </si>
  <si>
    <t>Income tax payable</t>
  </si>
  <si>
    <t>Liabilities held for sale</t>
  </si>
  <si>
    <t>Deferred income taxes</t>
  </si>
  <si>
    <t>Accrued PRB costs</t>
  </si>
  <si>
    <t>LT deferred income</t>
  </si>
  <si>
    <t>Other non-current liabilities</t>
  </si>
  <si>
    <t>Total liabilities</t>
  </si>
  <si>
    <t>Redeemable Non-controlling interest</t>
  </si>
  <si>
    <t>Preferred stock - cumulative compounding</t>
  </si>
  <si>
    <t>Common stock</t>
  </si>
  <si>
    <t>Additional PIC</t>
  </si>
  <si>
    <t>Retained earnings (deficit)</t>
  </si>
  <si>
    <t>Accum. OCI</t>
  </si>
  <si>
    <t>Treasury stock</t>
  </si>
  <si>
    <t>Noncontrolling interest</t>
  </si>
  <si>
    <t>Total Equity</t>
  </si>
  <si>
    <t>Total Liabilities and Equity</t>
  </si>
  <si>
    <t>Shares issued</t>
  </si>
  <si>
    <t>Treasury Shares</t>
  </si>
  <si>
    <t>Shares Outstanding</t>
  </si>
  <si>
    <t>Market Value of Equity</t>
  </si>
  <si>
    <t>Consolidated Income Statements</t>
  </si>
  <si>
    <t>Common Size on Net Sales</t>
  </si>
  <si>
    <t>Partial</t>
  </si>
  <si>
    <t>Net sales</t>
  </si>
  <si>
    <t>Cost of goods sold</t>
  </si>
  <si>
    <t>Gross profit</t>
  </si>
  <si>
    <t>SG&amp;A</t>
  </si>
  <si>
    <t>Goodwill impairment</t>
  </si>
  <si>
    <t>Intangible impairment</t>
  </si>
  <si>
    <t>Operating expenses</t>
  </si>
  <si>
    <t>Operating income (loss)</t>
  </si>
  <si>
    <t>Interest expense</t>
  </si>
  <si>
    <t>Other expense (income)</t>
  </si>
  <si>
    <t>Pretax Income</t>
  </si>
  <si>
    <t>Tax provision</t>
  </si>
  <si>
    <t xml:space="preserve">Net Income (loss)  </t>
  </si>
  <si>
    <t>Net income (Loss)-Kraft Heinz</t>
  </si>
  <si>
    <t>Preferred dividend</t>
  </si>
  <si>
    <t>Net income (loss) for Common shareholders</t>
  </si>
  <si>
    <t>Diluted W. Ave shares outstanding (notes)</t>
  </si>
  <si>
    <t>Diluted EPS</t>
  </si>
  <si>
    <t>Dividends per share (Equity Stmt))</t>
  </si>
  <si>
    <t>Consolidated Cash Flows</t>
  </si>
  <si>
    <t>Common Size on Operating Cash Flows</t>
  </si>
  <si>
    <t>Net income (loss)</t>
  </si>
  <si>
    <t>Depreciation &amp; amortization</t>
  </si>
  <si>
    <t>Amortization of PRB</t>
  </si>
  <si>
    <t>Amortization of inventory step-up</t>
  </si>
  <si>
    <t>Divestiture-rel;ate license income</t>
  </si>
  <si>
    <t>Impairment losses</t>
  </si>
  <si>
    <t>Stock-based compensation</t>
  </si>
  <si>
    <t>PRB Contributions</t>
  </si>
  <si>
    <t>Goodwill and intangible impairment</t>
  </si>
  <si>
    <t>Nonmonetary currency devaluation</t>
  </si>
  <si>
    <t>Write-off of debt issuance costs</t>
  </si>
  <si>
    <t>Loss/(gain) on sale of business</t>
  </si>
  <si>
    <t>Proceeds from sale of licence</t>
  </si>
  <si>
    <t>Loss (gain) on exstinguishment of debt</t>
  </si>
  <si>
    <t>Other items</t>
  </si>
  <si>
    <t>Operating Cash flow earned</t>
  </si>
  <si>
    <t>Change in Net Operating Assets:</t>
  </si>
  <si>
    <t>Operating cash flows</t>
  </si>
  <si>
    <t>Investing Activities:</t>
  </si>
  <si>
    <t>Capital expenditures</t>
  </si>
  <si>
    <t>Cash receipts from sold receivables</t>
  </si>
  <si>
    <t>Acquisitions - net of cash acquired</t>
  </si>
  <si>
    <t>Settlement of investment hedges</t>
  </si>
  <si>
    <t>Proceeds from sale of business</t>
  </si>
  <si>
    <t>Other investing activities</t>
  </si>
  <si>
    <t>Investing cash flows</t>
  </si>
  <si>
    <t>Financing Activities</t>
  </si>
  <si>
    <t>Repayment of LT Debt</t>
  </si>
  <si>
    <t>Proceeds fro LT Debt</t>
  </si>
  <si>
    <t>Debt prepayment benefits (costs)</t>
  </si>
  <si>
    <t>Proceeds from revolving LOC</t>
  </si>
  <si>
    <t>Repayment of revolving LOC</t>
  </si>
  <si>
    <t>Proceeds from issuance of commecial paper</t>
  </si>
  <si>
    <t>Repayments of commercial paper</t>
  </si>
  <si>
    <t>Issuance of stock to sponsors</t>
  </si>
  <si>
    <t>Preferred dividends</t>
  </si>
  <si>
    <t>Common Dividends paid</t>
  </si>
  <si>
    <t>Redemption of preferred stock</t>
  </si>
  <si>
    <t>Other financing activities</t>
  </si>
  <si>
    <t>Financing cash flows</t>
  </si>
  <si>
    <t>Effest of change in exchage rate</t>
  </si>
  <si>
    <t>Net incorease (decrease in cash</t>
  </si>
  <si>
    <t>Beginning Cash</t>
  </si>
  <si>
    <t>Ending cash</t>
  </si>
  <si>
    <t>Restriced cash</t>
  </si>
  <si>
    <t>Interest paid</t>
  </si>
  <si>
    <t>Income taxes paid</t>
  </si>
  <si>
    <t>Operating lease payments (notes)</t>
  </si>
  <si>
    <t>Supplemental Information (Notes)</t>
  </si>
  <si>
    <t>Advertising expense (in SG&amp;A</t>
  </si>
  <si>
    <t>R&amp;D Expense (in SG&amp;A)</t>
  </si>
  <si>
    <t>Land</t>
  </si>
  <si>
    <t>Construction in progress</t>
  </si>
  <si>
    <t>Depreciable assets</t>
  </si>
  <si>
    <t>PP&amp;E @ cost</t>
  </si>
  <si>
    <t>Accumulated depreciation</t>
  </si>
  <si>
    <t>Depreciation expense</t>
  </si>
  <si>
    <t>Right of Use Assets</t>
  </si>
  <si>
    <t>Operaing Lease Liabilities - current</t>
  </si>
  <si>
    <t>Operating lease liabilities - non current</t>
  </si>
  <si>
    <t>Reconciliation of Net Income - as reported to Recurring NICO</t>
  </si>
  <si>
    <t>Preliminary Assessment</t>
  </si>
  <si>
    <t>Net Income for Kraft Heinz - as reported</t>
  </si>
  <si>
    <t>Pretax adjustments:</t>
  </si>
  <si>
    <t>Net pretax</t>
  </si>
  <si>
    <t>taxes at standard rate</t>
  </si>
  <si>
    <t>After Tax</t>
  </si>
  <si>
    <t>Unusual taxes</t>
  </si>
  <si>
    <t>Net CQAD Adjustments</t>
  </si>
  <si>
    <t>Recurring NICO</t>
  </si>
  <si>
    <t>Recurring EPS</t>
  </si>
  <si>
    <t>Unusual Taxes</t>
  </si>
  <si>
    <t>Effective tax rate - as reproted</t>
  </si>
  <si>
    <t>Pretax income - as reported</t>
  </si>
  <si>
    <t>Standard Rate</t>
  </si>
  <si>
    <t>Taxes at Standard rate</t>
  </si>
  <si>
    <t>Taxes - as reported</t>
  </si>
  <si>
    <t>Unusual tax adjustment</t>
  </si>
  <si>
    <t>Recurring:</t>
  </si>
  <si>
    <t>Sales</t>
  </si>
  <si>
    <t>Operating Income</t>
  </si>
  <si>
    <t>Net Income</t>
  </si>
  <si>
    <t>Gross Profit</t>
  </si>
  <si>
    <t>Operating retention</t>
  </si>
  <si>
    <t>Operating Margin</t>
  </si>
  <si>
    <t>Treasury reterntion</t>
  </si>
  <si>
    <t>Profit Margin</t>
  </si>
  <si>
    <t>Adjusted EBITDA (using operating income as EBIT)</t>
  </si>
  <si>
    <t xml:space="preserve">  percent of sales</t>
  </si>
  <si>
    <t>Stock Price</t>
  </si>
  <si>
    <t>Shares O/S</t>
  </si>
  <si>
    <t>MVE</t>
  </si>
  <si>
    <t>Plus debt</t>
  </si>
  <si>
    <t>less cash and marketable securities</t>
  </si>
  <si>
    <t>Enterprise value</t>
  </si>
  <si>
    <t>EV / Adjusted EBITDA</t>
  </si>
  <si>
    <t>PE Ratio</t>
  </si>
  <si>
    <t>Recurring Net Income</t>
  </si>
  <si>
    <t>Average Equity</t>
  </si>
  <si>
    <t>Recurring ROE</t>
  </si>
  <si>
    <t>If ROE is used as an expected growth rate and if the PE should gravitate to the growth rate</t>
  </si>
  <si>
    <t>The stock is and has been overvalued.  A normal EV/EBITDA ratio is 9.  This also indicates that</t>
  </si>
  <si>
    <t>The stock is and has been overvalalued.</t>
  </si>
  <si>
    <t>Free Cash Flow to the Firm</t>
  </si>
  <si>
    <t>CFA Method - Public Companies</t>
  </si>
  <si>
    <t>Operating Cash Flows</t>
  </si>
  <si>
    <t>less CAPEX</t>
  </si>
  <si>
    <t>Free Cash Flow</t>
  </si>
  <si>
    <t>Plus Interest (1-T)</t>
  </si>
  <si>
    <t>Free cCash Flow to the Firm</t>
  </si>
  <si>
    <t>Academia - Companies without SOCF</t>
  </si>
  <si>
    <t>EBIT</t>
  </si>
  <si>
    <t>Change in NOWC</t>
  </si>
  <si>
    <t>1-T</t>
  </si>
  <si>
    <t>Current Assets</t>
  </si>
  <si>
    <t>NOPAT</t>
  </si>
  <si>
    <t>Current liabilities</t>
  </si>
  <si>
    <t>+ D&amp;A</t>
  </si>
  <si>
    <t>Working Capital</t>
  </si>
  <si>
    <t>+ or - Change in NOWC</t>
  </si>
  <si>
    <t>Add back CP Debt</t>
  </si>
  <si>
    <t>- CAPEX</t>
  </si>
  <si>
    <t>NOWC</t>
  </si>
  <si>
    <t>Difference</t>
  </si>
  <si>
    <t>% difference</t>
  </si>
  <si>
    <t>Reclassified</t>
  </si>
  <si>
    <t>Late filing</t>
  </si>
  <si>
    <t>Marketable Securities</t>
  </si>
  <si>
    <t>PP&amp;E - at cost</t>
  </si>
  <si>
    <t>Right of Use assets</t>
  </si>
  <si>
    <t>Goodwill and Intangibles (see detail)</t>
  </si>
  <si>
    <t>Current Debt (see detail)</t>
  </si>
  <si>
    <t>Deferred revenue</t>
  </si>
  <si>
    <t>Current portion of operating lease liabilities</t>
  </si>
  <si>
    <t>Other current liabilities (see detail)</t>
  </si>
  <si>
    <t>LT operating lease liabilities</t>
  </si>
  <si>
    <t>Other non-current liabilities (see detail)</t>
  </si>
  <si>
    <t>Stock price at next 2/28 (60 days after FYE)</t>
  </si>
  <si>
    <t>Summary Changes in Equity</t>
  </si>
  <si>
    <t>Aggregate</t>
  </si>
  <si>
    <t>Net Income - As Reported</t>
  </si>
  <si>
    <t>Other comprehensive income</t>
  </si>
  <si>
    <t>Comprehensive Income affecting equity</t>
  </si>
  <si>
    <t>Other activity (squeeze)</t>
  </si>
  <si>
    <t>Change in equity</t>
  </si>
  <si>
    <t>Beginning Equity</t>
  </si>
  <si>
    <t>Ending Equity</t>
  </si>
  <si>
    <t>SG&amp;A (see detail)</t>
  </si>
  <si>
    <t>Advertising &amp; Promotion</t>
  </si>
  <si>
    <t>Research &amp; Devlopment</t>
  </si>
  <si>
    <t>Effective Tax Rate</t>
  </si>
  <si>
    <t>Non-GAAP Measurements:</t>
  </si>
  <si>
    <t>Add back Income Taxes</t>
  </si>
  <si>
    <t>Add back Interest Expense</t>
  </si>
  <si>
    <t>Depreciation and amortization</t>
  </si>
  <si>
    <t>EBITDA</t>
  </si>
  <si>
    <t>Other Income</t>
  </si>
  <si>
    <t>Net income (loss) - as reported</t>
  </si>
  <si>
    <t>Divestiture-related license income</t>
  </si>
  <si>
    <t>Proceeds from sale of license</t>
  </si>
  <si>
    <t>Direct Method:</t>
  </si>
  <si>
    <t>Cash from customers</t>
  </si>
  <si>
    <t>Cash for inventory</t>
  </si>
  <si>
    <t>Cash basis gross profit</t>
  </si>
  <si>
    <t>Cash for interest</t>
  </si>
  <si>
    <t>Cash for taxes</t>
  </si>
  <si>
    <t>Proceeds from sale of licenses</t>
  </si>
  <si>
    <t>Cash for operating leases</t>
  </si>
  <si>
    <t>Other operating Cash flows</t>
  </si>
  <si>
    <t>Acquisitions</t>
  </si>
  <si>
    <t>Net Debt related cash flows</t>
  </si>
  <si>
    <t>Dividends paid</t>
  </si>
  <si>
    <t>Restricted cash</t>
  </si>
  <si>
    <t>Reclassification Detail</t>
  </si>
  <si>
    <t>Goodwill and Other intangibles</t>
  </si>
  <si>
    <t>Other assets - as reported</t>
  </si>
  <si>
    <t>less Right of use assets</t>
  </si>
  <si>
    <t xml:space="preserve">Other assets  </t>
  </si>
  <si>
    <t>Current Debt</t>
  </si>
  <si>
    <t>Less currennt operating leases</t>
  </si>
  <si>
    <t>less LT operating lease liabilities</t>
  </si>
  <si>
    <t>Other Long-term Liabilities</t>
  </si>
  <si>
    <t>SG&amp;A As reported</t>
  </si>
  <si>
    <t>Less R&amp;D</t>
  </si>
  <si>
    <t>Less SAP</t>
  </si>
  <si>
    <t>SG%A - reclassified</t>
  </si>
  <si>
    <t>Net increase (decrease in cash)</t>
  </si>
  <si>
    <t>Net Sales</t>
  </si>
  <si>
    <t>Operating cash retention</t>
  </si>
  <si>
    <t>Operating cash flow earned</t>
  </si>
  <si>
    <t>Change in NOA</t>
  </si>
  <si>
    <t>Operating cash flow</t>
  </si>
  <si>
    <t>CAPEX</t>
  </si>
  <si>
    <t>Free cash flow</t>
  </si>
  <si>
    <t>Collection on sale of receivables</t>
  </si>
  <si>
    <t>Acquisitions (see Note below)</t>
  </si>
  <si>
    <t>Net Debt related cash flow (see detail)</t>
  </si>
  <si>
    <t>Other</t>
  </si>
  <si>
    <t>Change in Cash</t>
  </si>
  <si>
    <t>Free cash flow to the firm</t>
  </si>
  <si>
    <t>Free cash flow to equity</t>
  </si>
  <si>
    <t>CAPEX Ratio</t>
  </si>
  <si>
    <t>Average life of depreciable assets</t>
  </si>
  <si>
    <t>Average age of depreciable assets</t>
  </si>
  <si>
    <t>Remaining life</t>
  </si>
  <si>
    <t>Percent Consumed</t>
  </si>
  <si>
    <t>Market securities turnover</t>
  </si>
  <si>
    <t>N/A</t>
  </si>
  <si>
    <t>Note: Acquisitions - In March 2018 the company acquired Cerebos Pacific Limited for $244 million. The assests acquired included</t>
  </si>
  <si>
    <t>Goodwill of 25 million and other intangibles of 100 million .</t>
  </si>
  <si>
    <t>In January 2019 the company acquired Primal Nutrition, LLC for $201 million. The assests acquired included</t>
  </si>
  <si>
    <t>Goodwill of $124M and other intangibles of $66M .</t>
  </si>
  <si>
    <t>In October 2019 the company acquired Assan Foods for $79 million. The assests acquired included</t>
  </si>
  <si>
    <t>Goodwill of $51M and other intangibles of $16M.</t>
  </si>
  <si>
    <t>In January 2022 the company acquired Just Spices GmbH for $243 million. The assests acquired included</t>
  </si>
  <si>
    <t>Goodwill of $156M and other intangibles of $172M.</t>
  </si>
  <si>
    <t>In March 2022 the company acquired Hemmer for $279 million. The assests acquired included</t>
  </si>
  <si>
    <t>Goodwill of $215M and other intangibles of $122M.</t>
  </si>
  <si>
    <t>Note: Divestitures - In May 2018 the Company completed its sale of selected assets to their minority interest partner for $18M.  The sales resulted</t>
  </si>
  <si>
    <t>in a pretax loss of $15M which is included in Other expense (income) on the income statement.</t>
  </si>
  <si>
    <t>For a more in depth look at divestitures, please look at note 4 on the most recent 10-K</t>
  </si>
  <si>
    <t>Liquidity Analysis</t>
  </si>
  <si>
    <t>Net Operating Working Capital (academia)</t>
  </si>
  <si>
    <t>Net Operating Working Capital (FAD)</t>
  </si>
  <si>
    <t>Current Ratio</t>
  </si>
  <si>
    <t>Quick Ratio</t>
  </si>
  <si>
    <t>Cash (Acid) ratio</t>
  </si>
  <si>
    <t>Turnovers:</t>
  </si>
  <si>
    <t>Receivables</t>
  </si>
  <si>
    <t>Inventory</t>
  </si>
  <si>
    <t>Payables</t>
  </si>
  <si>
    <t>Average Operating Cycle Days</t>
  </si>
  <si>
    <t>Days to collect</t>
  </si>
  <si>
    <t>Days to Move</t>
  </si>
  <si>
    <t>Conversion cycle</t>
  </si>
  <si>
    <t>Days to Pay</t>
  </si>
  <si>
    <t>Cash to Cash Cycle</t>
  </si>
  <si>
    <t>Year End Position:</t>
  </si>
  <si>
    <t>Sales days in receivables</t>
  </si>
  <si>
    <t>Days supply of inventory</t>
  </si>
  <si>
    <t>Days of Purchases in payables</t>
  </si>
  <si>
    <t>Cash received from cusomers</t>
  </si>
  <si>
    <t>Purchases of Inventory - as reported</t>
  </si>
  <si>
    <t>Operating Cash Disbursements</t>
  </si>
  <si>
    <t>Daily Cash Receipts</t>
  </si>
  <si>
    <t>Daily cash disbursements</t>
  </si>
  <si>
    <t>Capital Structure, Solvency &amp; Flexibility Analysis</t>
  </si>
  <si>
    <t>Capital Structure :</t>
  </si>
  <si>
    <t>Operating liabilties</t>
  </si>
  <si>
    <t>Financing liabilities (Debt)</t>
  </si>
  <si>
    <t>Total Liabilities and redeemable interest</t>
  </si>
  <si>
    <t>Preferred Equity</t>
  </si>
  <si>
    <t>Percentage of Total Assets</t>
  </si>
  <si>
    <t>Invested Capital - at Market Value</t>
  </si>
  <si>
    <t>Total Invested Capital</t>
  </si>
  <si>
    <t>% of Total Invested Capital</t>
  </si>
  <si>
    <t>Gearing Ratio (Financial Leverage)</t>
  </si>
  <si>
    <t>Coverage Ratios:</t>
  </si>
  <si>
    <t>Interest Coverage (Times Interest Earned)</t>
  </si>
  <si>
    <t>Fixed charge coverage ratio</t>
  </si>
  <si>
    <t>Debt to EBITDA</t>
  </si>
  <si>
    <t>Market Value of Treasury Stock</t>
  </si>
  <si>
    <t>Reconciliation of Net Income As Reported to Recurring NICO</t>
  </si>
  <si>
    <t>Net after taxes</t>
  </si>
  <si>
    <t>Net CQAD adjustments</t>
  </si>
  <si>
    <t>Recurring NICO per share</t>
  </si>
  <si>
    <t>Profitability, Efficiency &amp; Effectiveness Ratios - Preliminary</t>
  </si>
  <si>
    <t>DuPont Disaggregation:</t>
  </si>
  <si>
    <t>Operating (EBIT) Margin</t>
  </si>
  <si>
    <t>Interest Burden</t>
  </si>
  <si>
    <t>Pretax Margin</t>
  </si>
  <si>
    <t>Tax Burden</t>
  </si>
  <si>
    <t>Asset Turnover</t>
  </si>
  <si>
    <t>Return on Assets</t>
  </si>
  <si>
    <t>Financial Leverage (Gearing Ratio)</t>
  </si>
  <si>
    <t>Return on Equity</t>
  </si>
  <si>
    <t>Degeorge Disaggregation of Profit Margin</t>
  </si>
  <si>
    <t>Gross profit margin</t>
  </si>
  <si>
    <t>Treasury Retention</t>
  </si>
  <si>
    <t>Working Capital Turnover</t>
  </si>
  <si>
    <t>Fixed Asset Turnover</t>
  </si>
  <si>
    <t>EBITDA - Simple</t>
  </si>
  <si>
    <t>EBITDA - Correct</t>
  </si>
  <si>
    <t>RECURRING</t>
  </si>
  <si>
    <t>Effective Tax Rate - standard</t>
  </si>
  <si>
    <t>Less cash and securities</t>
  </si>
  <si>
    <t>Enterprise Value</t>
  </si>
  <si>
    <t>Relevant per share items:</t>
  </si>
  <si>
    <t>Earnings</t>
  </si>
  <si>
    <t>Book value</t>
  </si>
  <si>
    <t>Relevant Valuation Matrices</t>
  </si>
  <si>
    <t>Price to Earnings</t>
  </si>
  <si>
    <t>Price to Book Value</t>
  </si>
  <si>
    <t>Enterprise Value Multiple</t>
  </si>
  <si>
    <t>Price to Sales</t>
  </si>
  <si>
    <t>Price to EBIT</t>
  </si>
  <si>
    <t>Price to EBITDA</t>
  </si>
  <si>
    <t>Price to Cash Flow Earned</t>
  </si>
  <si>
    <t>Price to Operating Cash Flows</t>
  </si>
  <si>
    <t>Price to Free Cash Flow</t>
  </si>
  <si>
    <t>Dividends Declared per share</t>
  </si>
  <si>
    <t>Dividend yield</t>
  </si>
  <si>
    <t>Dividend Payout ratio</t>
  </si>
  <si>
    <t>Earnings Retention Rate</t>
  </si>
  <si>
    <t>Sustainable growth rate</t>
  </si>
  <si>
    <t>Internal Growth Rate</t>
  </si>
  <si>
    <t>PEG (Price to Earnings to  Growth)</t>
  </si>
  <si>
    <t>Market Value Added (MVA)</t>
  </si>
  <si>
    <t>Percent of total assets</t>
  </si>
  <si>
    <t>Stock Price (60 days after FYE)</t>
  </si>
  <si>
    <t>Potential Growth Rates:</t>
  </si>
  <si>
    <t>CAGR:</t>
  </si>
  <si>
    <t xml:space="preserve">EBIT </t>
  </si>
  <si>
    <t>Operating Cash Flow Earned</t>
  </si>
  <si>
    <t xml:space="preserve">Operating Cash Flows </t>
  </si>
  <si>
    <t xml:space="preserve">Free cash flow  </t>
  </si>
  <si>
    <t>Average CAGR</t>
  </si>
  <si>
    <t>Sustainable Growth Rate</t>
  </si>
  <si>
    <t>Expected Growth Rate</t>
  </si>
  <si>
    <t>EPS0</t>
  </si>
  <si>
    <t>EPS1</t>
  </si>
  <si>
    <t>EPS2</t>
  </si>
  <si>
    <t>Expected PE Ratio</t>
  </si>
  <si>
    <t>P0 - Actual</t>
  </si>
  <si>
    <t>P0 Expected</t>
  </si>
  <si>
    <t>P1 Expected</t>
  </si>
  <si>
    <t>P2 Expected</t>
  </si>
  <si>
    <t>Expected ROI - excluding dividends</t>
  </si>
  <si>
    <t>Expected ROI - Including Dividends</t>
  </si>
  <si>
    <t>Recommendation</t>
  </si>
  <si>
    <t>avg</t>
  </si>
  <si>
    <t>std</t>
  </si>
  <si>
    <t>cv</t>
  </si>
  <si>
    <t>x</t>
  </si>
  <si>
    <t>Sell</t>
  </si>
  <si>
    <t>The Kraft Heinz Company</t>
  </si>
  <si>
    <t>Growth Analysis and Recommendation</t>
  </si>
  <si>
    <t>Market and Valuation Analysis</t>
  </si>
  <si>
    <t>in millions except for per share data</t>
  </si>
  <si>
    <t>Fiscal Year ended 12/31</t>
  </si>
  <si>
    <t>Kraft Heinz</t>
  </si>
  <si>
    <t>The Kraft Heinz Compnay</t>
  </si>
  <si>
    <t>Profitability, Effieciency, and Effectivness Ratios</t>
  </si>
  <si>
    <t>Fiscal year ended 12/31</t>
  </si>
  <si>
    <t>Pretax Adjustments:</t>
  </si>
  <si>
    <t>Goodwill Impairment (loss) [SG&amp;A]</t>
  </si>
  <si>
    <t>Intangible Asset Impairment (loss) [SG&amp;A]</t>
  </si>
  <si>
    <t>PPE Impairment [COGS]</t>
  </si>
  <si>
    <t>53rd Week Corrections:</t>
  </si>
  <si>
    <t>53rd Week Sales correction [Net Sales]</t>
  </si>
  <si>
    <t>53rd Week COGS correction [COGS]</t>
  </si>
  <si>
    <t>Affects of A&amp;D seen in income stm:</t>
  </si>
  <si>
    <t>Hedging gain related to Hemmer Acquistion [other inc.]</t>
  </si>
  <si>
    <t>Interest Expenses [interest exp.]</t>
  </si>
  <si>
    <t>Other Misc.</t>
  </si>
  <si>
    <t>Deal Costs [SG&amp;A]</t>
  </si>
  <si>
    <t>Deal Costs Appearing in COGS</t>
  </si>
  <si>
    <t>Integration &amp; restructuring expenses (gains):</t>
  </si>
  <si>
    <t>Amount in COGS</t>
  </si>
  <si>
    <t>Amount in SG&amp;A</t>
  </si>
  <si>
    <t>Amount in other</t>
  </si>
  <si>
    <t>Unrealized losses/(gains) on commodity hedges [COGS]</t>
  </si>
  <si>
    <t>Debt prepayment and extinguishment [interest exp.]</t>
  </si>
  <si>
    <t>Losses/(gains) on sale of business [other inc.]</t>
  </si>
  <si>
    <t>Lidigation Costs [SG&amp;A]</t>
  </si>
  <si>
    <t>Net pretax adjustments</t>
  </si>
  <si>
    <t>Taxes at normal rate</t>
  </si>
  <si>
    <t>Unusual tax adjustments</t>
  </si>
  <si>
    <t>EPS- As reported</t>
  </si>
  <si>
    <t>CQAD Adjustments</t>
  </si>
  <si>
    <t>Effective tax rate- as reported</t>
  </si>
  <si>
    <t>Standard Tax Rate</t>
  </si>
  <si>
    <t>Income Taxes at Standard Rate</t>
  </si>
  <si>
    <t>Income Taxes- as reported</t>
  </si>
  <si>
    <t>Reconciliation of Net Income As Reported to Recurring NICO*</t>
  </si>
  <si>
    <t>*It's so not lol</t>
  </si>
  <si>
    <t>Non-recurring Net income (Loss)-Kraft Heinz</t>
  </si>
  <si>
    <t>Non-recurring activites (see detail)</t>
  </si>
  <si>
    <t>Recurring Net income</t>
  </si>
  <si>
    <t>Goodwill Imparment</t>
  </si>
  <si>
    <t>Intangible Impartment</t>
  </si>
  <si>
    <t>Equity Issued at fair value</t>
  </si>
  <si>
    <t>Fiscal Year ended 12/31:</t>
  </si>
  <si>
    <t>SG&amp;A - reclassified</t>
  </si>
  <si>
    <t>Fiscal year ended 12/31:</t>
  </si>
  <si>
    <t>Cash Flow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</si>
</sst>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0.0%"/>
    <numFmt numFmtId="168" formatCode="_(&quot;$&quot;* #,##0.0_);_(&quot;$&quot;* \(#,##0.0\);_(&quot;$&quot;* &quot;-&quot;??_);_(@_)"/>
    <numFmt numFmtId="169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0" fontId="0" fillId="0" borderId="0" xfId="1" applyNumberFormat="1" applyFont="1"/>
    <xf numFmtId="165" fontId="0" fillId="0" borderId="0" xfId="1" applyNumberFormat="1" applyFont="1" applyAlignment="1">
      <alignment horizontal="left" indent="1"/>
    </xf>
    <xf numFmtId="165" fontId="0" fillId="0" borderId="2" xfId="1" applyNumberFormat="1" applyFont="1" applyBorder="1"/>
    <xf numFmtId="44" fontId="0" fillId="0" borderId="0" xfId="2" applyFont="1"/>
    <xf numFmtId="166" fontId="0" fillId="0" borderId="0" xfId="2" applyNumberFormat="1" applyFont="1"/>
    <xf numFmtId="166" fontId="0" fillId="0" borderId="3" xfId="2" applyNumberFormat="1" applyFont="1" applyBorder="1"/>
    <xf numFmtId="165" fontId="0" fillId="0" borderId="4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Alignment="1">
      <alignment horizontal="left"/>
    </xf>
    <xf numFmtId="165" fontId="2" fillId="3" borderId="0" xfId="1" applyNumberFormat="1" applyFont="1" applyFill="1"/>
    <xf numFmtId="165" fontId="2" fillId="3" borderId="0" xfId="1" applyNumberFormat="1" applyFont="1" applyFill="1" applyAlignment="1">
      <alignment horizontal="right"/>
    </xf>
    <xf numFmtId="0" fontId="2" fillId="3" borderId="1" xfId="1" applyNumberFormat="1" applyFont="1" applyFill="1" applyBorder="1"/>
    <xf numFmtId="165" fontId="2" fillId="0" borderId="0" xfId="1" applyNumberFormat="1" applyFont="1"/>
    <xf numFmtId="165" fontId="3" fillId="0" borderId="0" xfId="1" applyNumberFormat="1" applyFont="1"/>
    <xf numFmtId="165" fontId="3" fillId="0" borderId="2" xfId="1" applyNumberFormat="1" applyFont="1" applyBorder="1"/>
    <xf numFmtId="165" fontId="0" fillId="0" borderId="0" xfId="1" applyNumberFormat="1" applyFont="1" applyFill="1"/>
    <xf numFmtId="165" fontId="1" fillId="0" borderId="0" xfId="1" applyNumberFormat="1" applyFont="1" applyFill="1" applyAlignment="1">
      <alignment horizontal="left"/>
    </xf>
    <xf numFmtId="0" fontId="1" fillId="0" borderId="0" xfId="1" applyNumberFormat="1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left"/>
    </xf>
    <xf numFmtId="166" fontId="1" fillId="0" borderId="0" xfId="2" applyNumberFormat="1" applyFont="1" applyFill="1" applyBorder="1" applyAlignment="1">
      <alignment horizontal="left"/>
    </xf>
    <xf numFmtId="44" fontId="0" fillId="0" borderId="0" xfId="2" applyFont="1" applyFill="1"/>
    <xf numFmtId="167" fontId="0" fillId="0" borderId="0" xfId="3" applyNumberFormat="1" applyFont="1"/>
    <xf numFmtId="167" fontId="0" fillId="0" borderId="5" xfId="3" applyNumberFormat="1" applyFont="1" applyBorder="1"/>
    <xf numFmtId="165" fontId="0" fillId="0" borderId="5" xfId="1" applyNumberFormat="1" applyFont="1" applyBorder="1"/>
    <xf numFmtId="167" fontId="0" fillId="0" borderId="3" xfId="3" applyNumberFormat="1" applyFont="1" applyBorder="1"/>
    <xf numFmtId="167" fontId="0" fillId="0" borderId="4" xfId="3" applyNumberFormat="1" applyFont="1" applyBorder="1"/>
    <xf numFmtId="165" fontId="0" fillId="0" borderId="0" xfId="1" applyNumberFormat="1" applyFont="1" applyBorder="1"/>
    <xf numFmtId="165" fontId="0" fillId="0" borderId="0" xfId="1" applyNumberFormat="1" applyFont="1" applyAlignment="1">
      <alignment horizontal="left" indent="2"/>
    </xf>
    <xf numFmtId="166" fontId="0" fillId="0" borderId="0" xfId="2" applyNumberFormat="1" applyFont="1" applyBorder="1"/>
    <xf numFmtId="167" fontId="0" fillId="0" borderId="0" xfId="3" applyNumberFormat="1" applyFont="1" applyBorder="1"/>
    <xf numFmtId="167" fontId="0" fillId="2" borderId="0" xfId="3" applyNumberFormat="1" applyFont="1" applyFill="1"/>
    <xf numFmtId="43" fontId="0" fillId="0" borderId="0" xfId="1" applyFont="1"/>
    <xf numFmtId="0" fontId="0" fillId="0" borderId="1" xfId="1" applyNumberFormat="1" applyFont="1" applyBorder="1"/>
    <xf numFmtId="165" fontId="0" fillId="0" borderId="1" xfId="1" applyNumberFormat="1" applyFont="1" applyBorder="1" applyAlignment="1">
      <alignment horizontal="right"/>
    </xf>
    <xf numFmtId="9" fontId="0" fillId="0" borderId="0" xfId="3" applyFont="1"/>
    <xf numFmtId="14" fontId="0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0" xfId="1" quotePrefix="1" applyNumberFormat="1" applyFont="1" applyAlignment="1">
      <alignment horizontal="right" indent="1"/>
    </xf>
    <xf numFmtId="165" fontId="0" fillId="0" borderId="0" xfId="1" applyNumberFormat="1" applyFont="1" applyAlignment="1">
      <alignment horizontal="left" indent="3"/>
    </xf>
    <xf numFmtId="164" fontId="0" fillId="0" borderId="0" xfId="1" applyNumberFormat="1" applyFont="1" applyAlignment="1">
      <alignment horizontal="left" indent="1"/>
    </xf>
    <xf numFmtId="164" fontId="2" fillId="0" borderId="1" xfId="1" applyNumberFormat="1" applyFont="1" applyBorder="1"/>
    <xf numFmtId="164" fontId="0" fillId="0" borderId="0" xfId="1" quotePrefix="1" applyNumberFormat="1" applyFont="1" applyAlignment="1">
      <alignment horizontal="left" indent="1"/>
    </xf>
    <xf numFmtId="168" fontId="0" fillId="0" borderId="0" xfId="2" applyNumberFormat="1" applyFont="1" applyBorder="1"/>
    <xf numFmtId="164" fontId="0" fillId="0" borderId="0" xfId="1" applyNumberFormat="1" applyFont="1" applyBorder="1"/>
    <xf numFmtId="165" fontId="2" fillId="0" borderId="1" xfId="1" applyNumberFormat="1" applyFont="1" applyBorder="1"/>
    <xf numFmtId="165" fontId="0" fillId="0" borderId="1" xfId="1" applyNumberFormat="1" applyFont="1" applyBorder="1"/>
    <xf numFmtId="165" fontId="0" fillId="0" borderId="0" xfId="1" applyNumberFormat="1" applyFont="1" applyBorder="1" applyAlignment="1">
      <alignment horizontal="right"/>
    </xf>
    <xf numFmtId="166" fontId="0" fillId="0" borderId="6" xfId="2" applyNumberFormat="1" applyFont="1" applyBorder="1"/>
    <xf numFmtId="9" fontId="0" fillId="0" borderId="5" xfId="3" applyFont="1" applyBorder="1"/>
    <xf numFmtId="165" fontId="2" fillId="0" borderId="0" xfId="1" applyNumberFormat="1" applyFont="1" applyFill="1"/>
    <xf numFmtId="165" fontId="0" fillId="0" borderId="0" xfId="1" applyNumberFormat="1" applyFont="1" applyFill="1" applyAlignment="1">
      <alignment horizontal="left" indent="1"/>
    </xf>
    <xf numFmtId="165" fontId="0" fillId="0" borderId="4" xfId="1" applyNumberFormat="1" applyFont="1" applyFill="1" applyBorder="1"/>
    <xf numFmtId="165" fontId="0" fillId="0" borderId="0" xfId="1" applyNumberFormat="1" applyFont="1" applyFill="1" applyAlignment="1">
      <alignment horizontal="left" indent="2"/>
    </xf>
    <xf numFmtId="165" fontId="0" fillId="0" borderId="2" xfId="1" applyNumberFormat="1" applyFont="1" applyFill="1" applyBorder="1"/>
    <xf numFmtId="165" fontId="0" fillId="0" borderId="0" xfId="1" applyNumberFormat="1" applyFont="1" applyFill="1" applyAlignment="1">
      <alignment horizontal="right"/>
    </xf>
    <xf numFmtId="165" fontId="1" fillId="0" borderId="0" xfId="1" applyNumberFormat="1" applyFont="1" applyFill="1"/>
    <xf numFmtId="166" fontId="0" fillId="0" borderId="0" xfId="2" applyNumberFormat="1" applyFont="1" applyFill="1"/>
    <xf numFmtId="165" fontId="1" fillId="0" borderId="0" xfId="1" applyNumberFormat="1" applyFont="1" applyFill="1" applyAlignment="1">
      <alignment horizontal="left" indent="1"/>
    </xf>
    <xf numFmtId="165" fontId="0" fillId="0" borderId="0" xfId="1" applyNumberFormat="1" applyFont="1" applyFill="1" applyAlignment="1">
      <alignment horizontal="left"/>
    </xf>
    <xf numFmtId="165" fontId="0" fillId="0" borderId="5" xfId="1" applyNumberFormat="1" applyFont="1" applyFill="1" applyBorder="1"/>
    <xf numFmtId="166" fontId="0" fillId="0" borderId="6" xfId="1" applyNumberFormat="1" applyFont="1" applyFill="1" applyBorder="1"/>
    <xf numFmtId="165" fontId="2" fillId="0" borderId="0" xfId="1" applyNumberFormat="1" applyFont="1" applyFill="1" applyAlignment="1">
      <alignment horizontal="right"/>
    </xf>
    <xf numFmtId="165" fontId="2" fillId="4" borderId="0" xfId="1" applyNumberFormat="1" applyFont="1" applyFill="1"/>
    <xf numFmtId="165" fontId="2" fillId="4" borderId="0" xfId="1" applyNumberFormat="1" applyFont="1" applyFill="1" applyAlignment="1">
      <alignment horizontal="right"/>
    </xf>
    <xf numFmtId="0" fontId="2" fillId="4" borderId="1" xfId="1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/>
    </xf>
    <xf numFmtId="165" fontId="2" fillId="4" borderId="1" xfId="1" applyNumberFormat="1" applyFont="1" applyFill="1" applyBorder="1"/>
    <xf numFmtId="0" fontId="2" fillId="4" borderId="1" xfId="1" applyNumberFormat="1" applyFont="1" applyFill="1" applyBorder="1"/>
    <xf numFmtId="165" fontId="2" fillId="4" borderId="0" xfId="1" applyNumberFormat="1" applyFont="1" applyFill="1" applyAlignment="1">
      <alignment horizontal="center"/>
    </xf>
    <xf numFmtId="0" fontId="2" fillId="4" borderId="1" xfId="1" applyNumberFormat="1" applyFont="1" applyFill="1" applyBorder="1" applyAlignment="1"/>
    <xf numFmtId="166" fontId="0" fillId="0" borderId="3" xfId="2" applyNumberFormat="1" applyFont="1" applyFill="1" applyBorder="1"/>
    <xf numFmtId="164" fontId="2" fillId="4" borderId="0" xfId="1" applyNumberFormat="1" applyFont="1" applyFill="1"/>
    <xf numFmtId="164" fontId="2" fillId="4" borderId="0" xfId="1" applyNumberFormat="1" applyFont="1" applyFill="1" applyAlignment="1">
      <alignment horizontal="left" indent="13"/>
    </xf>
    <xf numFmtId="0" fontId="2" fillId="0" borderId="0" xfId="1" applyNumberFormat="1" applyFont="1" applyFill="1" applyBorder="1"/>
    <xf numFmtId="0" fontId="2" fillId="4" borderId="0" xfId="1" applyNumberFormat="1" applyFont="1" applyFill="1" applyBorder="1"/>
    <xf numFmtId="0" fontId="2" fillId="4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165" fontId="3" fillId="0" borderId="0" xfId="1" applyNumberFormat="1" applyFont="1" applyBorder="1"/>
    <xf numFmtId="165" fontId="0" fillId="4" borderId="0" xfId="1" applyNumberFormat="1" applyFont="1" applyFill="1"/>
    <xf numFmtId="167" fontId="0" fillId="0" borderId="0" xfId="3" applyNumberFormat="1" applyFont="1" applyFill="1"/>
    <xf numFmtId="167" fontId="0" fillId="0" borderId="5" xfId="3" applyNumberFormat="1" applyFont="1" applyFill="1" applyBorder="1"/>
    <xf numFmtId="166" fontId="0" fillId="0" borderId="0" xfId="2" applyNumberFormat="1" applyFont="1" applyFill="1" applyBorder="1"/>
    <xf numFmtId="167" fontId="0" fillId="0" borderId="3" xfId="3" applyNumberFormat="1" applyFont="1" applyFill="1" applyBorder="1"/>
    <xf numFmtId="165" fontId="0" fillId="0" borderId="3" xfId="1" applyNumberFormat="1" applyFont="1" applyFill="1" applyBorder="1"/>
    <xf numFmtId="165" fontId="3" fillId="0" borderId="0" xfId="1" applyNumberFormat="1" applyFont="1" applyFill="1"/>
    <xf numFmtId="165" fontId="3" fillId="0" borderId="2" xfId="1" applyNumberFormat="1" applyFont="1" applyFill="1" applyBorder="1"/>
    <xf numFmtId="167" fontId="0" fillId="0" borderId="4" xfId="3" applyNumberFormat="1" applyFont="1" applyFill="1" applyBorder="1"/>
    <xf numFmtId="167" fontId="0" fillId="0" borderId="0" xfId="3" applyNumberFormat="1" applyFont="1" applyFill="1" applyBorder="1"/>
    <xf numFmtId="164" fontId="0" fillId="0" borderId="0" xfId="1" applyNumberFormat="1" applyFont="1" applyFill="1"/>
    <xf numFmtId="164" fontId="0" fillId="0" borderId="0" xfId="1" applyNumberFormat="1" applyFont="1" applyFill="1" applyAlignment="1">
      <alignment horizontal="left" indent="1"/>
    </xf>
    <xf numFmtId="164" fontId="0" fillId="0" borderId="0" xfId="1" applyNumberFormat="1" applyFont="1" applyFill="1" applyAlignment="1">
      <alignment horizontal="left" indent="2"/>
    </xf>
    <xf numFmtId="164" fontId="0" fillId="0" borderId="2" xfId="1" applyNumberFormat="1" applyFont="1" applyFill="1" applyBorder="1"/>
    <xf numFmtId="164" fontId="0" fillId="0" borderId="3" xfId="1" applyNumberFormat="1" applyFont="1" applyFill="1" applyBorder="1"/>
    <xf numFmtId="164" fontId="0" fillId="0" borderId="0" xfId="2" applyNumberFormat="1" applyFont="1" applyFill="1"/>
    <xf numFmtId="43" fontId="0" fillId="0" borderId="0" xfId="1" applyFont="1" applyFill="1"/>
    <xf numFmtId="43" fontId="0" fillId="0" borderId="0" xfId="2" applyNumberFormat="1" applyFont="1" applyFill="1"/>
    <xf numFmtId="165" fontId="2" fillId="4" borderId="0" xfId="1" applyNumberFormat="1" applyFont="1" applyFill="1" applyAlignment="1">
      <alignment horizontal="left" indent="6"/>
    </xf>
    <xf numFmtId="165" fontId="2" fillId="4" borderId="0" xfId="1" applyNumberFormat="1" applyFont="1" applyFill="1" applyAlignment="1">
      <alignment horizontal="left" indent="9"/>
    </xf>
    <xf numFmtId="165" fontId="2" fillId="4" borderId="0" xfId="1" applyNumberFormat="1" applyFont="1" applyFill="1" applyAlignment="1">
      <alignment horizontal="left" indent="14"/>
    </xf>
    <xf numFmtId="10" fontId="0" fillId="0" borderId="0" xfId="2" applyNumberFormat="1" applyFont="1" applyFill="1"/>
    <xf numFmtId="10" fontId="2" fillId="0" borderId="0" xfId="3" applyNumberFormat="1" applyFont="1" applyFill="1"/>
    <xf numFmtId="164" fontId="0" fillId="0" borderId="5" xfId="1" applyNumberFormat="1" applyFont="1" applyFill="1" applyBorder="1"/>
    <xf numFmtId="1" fontId="0" fillId="0" borderId="0" xfId="1" applyNumberFormat="1" applyFont="1" applyFill="1" applyBorder="1"/>
    <xf numFmtId="44" fontId="0" fillId="0" borderId="5" xfId="2" applyFont="1" applyFill="1" applyBorder="1"/>
    <xf numFmtId="44" fontId="0" fillId="0" borderId="3" xfId="2" applyFont="1" applyFill="1" applyBorder="1"/>
    <xf numFmtId="9" fontId="0" fillId="0" borderId="0" xfId="3" applyFont="1" applyFill="1"/>
    <xf numFmtId="10" fontId="0" fillId="0" borderId="0" xfId="3" applyNumberFormat="1" applyFont="1" applyFill="1"/>
    <xf numFmtId="169" fontId="0" fillId="0" borderId="0" xfId="1" applyNumberFormat="1" applyFont="1" applyFill="1"/>
    <xf numFmtId="164" fontId="0" fillId="0" borderId="0" xfId="1" applyNumberFormat="1" applyFont="1" applyFill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6" xfId="0" applyNumberFormat="1" applyBorder="1"/>
    <xf numFmtId="165" fontId="0" fillId="0" borderId="0" xfId="0" applyNumberFormat="1"/>
    <xf numFmtId="165" fontId="0" fillId="0" borderId="4" xfId="0" applyNumberFormat="1" applyBorder="1"/>
    <xf numFmtId="167" fontId="0" fillId="0" borderId="0" xfId="0" applyNumberFormat="1"/>
    <xf numFmtId="44" fontId="0" fillId="0" borderId="0" xfId="0" applyNumberFormat="1"/>
    <xf numFmtId="43" fontId="0" fillId="0" borderId="5" xfId="0" applyNumberFormat="1" applyBorder="1"/>
    <xf numFmtId="44" fontId="0" fillId="0" borderId="6" xfId="2" applyFont="1" applyFill="1" applyBorder="1"/>
    <xf numFmtId="166" fontId="0" fillId="0" borderId="0" xfId="0" applyNumberFormat="1"/>
    <xf numFmtId="166" fontId="0" fillId="0" borderId="3" xfId="0" applyNumberFormat="1" applyBorder="1"/>
    <xf numFmtId="1" fontId="2" fillId="4" borderId="5" xfId="1" applyNumberFormat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5" fontId="2" fillId="0" borderId="0" xfId="1" applyNumberFormat="1" applyFont="1" applyFill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C80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k DeGeorge" id="{94BDF6E4-36DF-4ACD-A7E5-AD64F793B9A5}" userId="9fd655dc288581f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77" dT="2023-07-25T14:12:59.71" personId="{94BDF6E4-36DF-4ACD-A7E5-AD64F793B9A5}" id="{C1BFEAC1-9582-4874-9AC5-C0D40B5B479A}">
    <text xml:space="preserve">Estimate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77" dT="2023-07-25T14:12:59.71" personId="{94BDF6E4-36DF-4ACD-A7E5-AD64F793B9A5}" id="{6ACB0142-BFED-417B-A861-95E1F9540705}">
    <text xml:space="preserve">Estimate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A041-3A53-4161-B17B-86492E5B3A31}">
  <dimension ref="A1:G75"/>
  <sheetViews>
    <sheetView zoomScale="90" zoomScaleNormal="90" workbookViewId="0">
      <selection activeCell="A38" sqref="A38"/>
    </sheetView>
  </sheetViews>
  <sheetFormatPr defaultColWidth="9.140625" defaultRowHeight="15" x14ac:dyDescent="0.25"/>
  <cols>
    <col min="1" max="1" width="35" style="2" customWidth="1"/>
    <col min="2" max="2" width="12.28515625" style="2" customWidth="1"/>
    <col min="3" max="5" width="10.7109375" style="2" customWidth="1"/>
    <col min="6" max="16384" width="9.140625" style="2"/>
  </cols>
  <sheetData>
    <row r="1" spans="1:6" x14ac:dyDescent="0.25">
      <c r="A1" s="2" t="s">
        <v>0</v>
      </c>
      <c r="B1" s="2" t="s">
        <v>1</v>
      </c>
    </row>
    <row r="2" spans="1:6" x14ac:dyDescent="0.25">
      <c r="A2" s="2" t="s">
        <v>2</v>
      </c>
      <c r="B2" s="2" t="s">
        <v>3</v>
      </c>
    </row>
    <row r="3" spans="1:6" x14ac:dyDescent="0.25">
      <c r="A3" s="2" t="s">
        <v>4</v>
      </c>
      <c r="B3" s="2" t="s">
        <v>5</v>
      </c>
    </row>
    <row r="5" spans="1:6" x14ac:dyDescent="0.25">
      <c r="B5" s="2" t="s">
        <v>6</v>
      </c>
    </row>
    <row r="7" spans="1:6" x14ac:dyDescent="0.25">
      <c r="B7" s="2" t="s">
        <v>7</v>
      </c>
    </row>
    <row r="8" spans="1:6" x14ac:dyDescent="0.25">
      <c r="B8" s="2" t="s">
        <v>8</v>
      </c>
    </row>
    <row r="10" spans="1:6" x14ac:dyDescent="0.25">
      <c r="B10" s="3" t="s">
        <v>9</v>
      </c>
      <c r="C10" s="3" t="s">
        <v>10</v>
      </c>
      <c r="E10" s="2" t="s">
        <v>11</v>
      </c>
    </row>
    <row r="11" spans="1:6" ht="15.75" thickBot="1" x14ac:dyDescent="0.3">
      <c r="A11" s="3" t="s">
        <v>12</v>
      </c>
      <c r="B11" s="36">
        <v>2015</v>
      </c>
      <c r="C11" s="36">
        <v>2014</v>
      </c>
      <c r="D11" s="37" t="s">
        <v>13</v>
      </c>
      <c r="E11" s="37" t="s">
        <v>14</v>
      </c>
      <c r="F11" s="2" t="s">
        <v>15</v>
      </c>
    </row>
    <row r="12" spans="1:6" x14ac:dyDescent="0.25">
      <c r="A12" s="2" t="s">
        <v>16</v>
      </c>
    </row>
    <row r="13" spans="1:6" x14ac:dyDescent="0.25">
      <c r="A13" s="5" t="s">
        <v>17</v>
      </c>
      <c r="B13" s="8">
        <v>4837</v>
      </c>
      <c r="C13" s="8">
        <v>2298</v>
      </c>
      <c r="D13" s="8">
        <f>+B13-C13</f>
        <v>2539</v>
      </c>
    </row>
    <row r="14" spans="1:6" x14ac:dyDescent="0.25">
      <c r="A14" s="5" t="s">
        <v>18</v>
      </c>
      <c r="B14" s="2">
        <v>871</v>
      </c>
      <c r="C14" s="2">
        <v>690</v>
      </c>
      <c r="D14" s="2">
        <f t="shared" ref="D14:D21" si="0">+B14-C14</f>
        <v>181</v>
      </c>
    </row>
    <row r="15" spans="1:6" x14ac:dyDescent="0.25">
      <c r="A15" s="5" t="s">
        <v>19</v>
      </c>
      <c r="B15" s="2">
        <v>2618</v>
      </c>
      <c r="C15" s="2">
        <v>1185</v>
      </c>
      <c r="D15" s="2">
        <f t="shared" si="0"/>
        <v>1433</v>
      </c>
    </row>
    <row r="16" spans="1:6" x14ac:dyDescent="0.25">
      <c r="A16" s="5" t="s">
        <v>20</v>
      </c>
      <c r="B16" s="2">
        <f>+B17-SUM(B13:B15)</f>
        <v>1454</v>
      </c>
      <c r="C16" s="2">
        <f>+C17-SUM(C13:C15)</f>
        <v>742</v>
      </c>
      <c r="D16" s="2">
        <f t="shared" si="0"/>
        <v>712</v>
      </c>
    </row>
    <row r="17" spans="1:5" x14ac:dyDescent="0.25">
      <c r="A17" s="2" t="s">
        <v>21</v>
      </c>
      <c r="B17" s="6">
        <v>9780</v>
      </c>
      <c r="C17" s="6">
        <v>4915</v>
      </c>
      <c r="D17" s="6">
        <f t="shared" si="0"/>
        <v>4865</v>
      </c>
      <c r="E17" s="8">
        <f>314+3423</f>
        <v>3737</v>
      </c>
    </row>
    <row r="18" spans="1:5" x14ac:dyDescent="0.25">
      <c r="A18" s="5" t="s">
        <v>22</v>
      </c>
      <c r="B18" s="2">
        <v>6524</v>
      </c>
      <c r="C18" s="2">
        <v>2365</v>
      </c>
      <c r="D18" s="2">
        <f t="shared" si="0"/>
        <v>4159</v>
      </c>
      <c r="E18" s="2">
        <v>4193</v>
      </c>
    </row>
    <row r="19" spans="1:5" x14ac:dyDescent="0.25">
      <c r="A19" s="5" t="s">
        <v>23</v>
      </c>
      <c r="B19" s="2">
        <v>43051</v>
      </c>
      <c r="C19" s="2">
        <v>14959</v>
      </c>
      <c r="D19" s="2">
        <f t="shared" si="0"/>
        <v>28092</v>
      </c>
      <c r="E19" s="2">
        <v>29029</v>
      </c>
    </row>
    <row r="20" spans="1:5" x14ac:dyDescent="0.25">
      <c r="A20" s="5" t="s">
        <v>24</v>
      </c>
      <c r="B20" s="2">
        <v>62120</v>
      </c>
      <c r="C20" s="2">
        <v>13188</v>
      </c>
      <c r="D20" s="2">
        <f t="shared" si="0"/>
        <v>48932</v>
      </c>
      <c r="E20" s="2">
        <v>49749</v>
      </c>
    </row>
    <row r="21" spans="1:5" x14ac:dyDescent="0.25">
      <c r="A21" s="5" t="s">
        <v>25</v>
      </c>
      <c r="B21" s="2">
        <v>1498</v>
      </c>
      <c r="C21" s="2">
        <v>1144</v>
      </c>
      <c r="D21" s="2">
        <f t="shared" si="0"/>
        <v>354</v>
      </c>
      <c r="E21" s="2">
        <v>214</v>
      </c>
    </row>
    <row r="22" spans="1:5" ht="15.75" thickBot="1" x14ac:dyDescent="0.3">
      <c r="A22" s="2" t="s">
        <v>26</v>
      </c>
      <c r="B22" s="9">
        <f>SUM(B17:B21)</f>
        <v>122973</v>
      </c>
      <c r="C22" s="9">
        <f t="shared" ref="C22:D22" si="1">SUM(C17:C21)</f>
        <v>36571</v>
      </c>
      <c r="D22" s="9">
        <f t="shared" si="1"/>
        <v>86402</v>
      </c>
      <c r="E22" s="9">
        <f>SUM(E17:E21)</f>
        <v>86922</v>
      </c>
    </row>
    <row r="23" spans="1:5" ht="15.75" thickTop="1" x14ac:dyDescent="0.25">
      <c r="A23" s="2" t="s">
        <v>27</v>
      </c>
    </row>
    <row r="24" spans="1:5" x14ac:dyDescent="0.25">
      <c r="A24" s="5" t="s">
        <v>28</v>
      </c>
      <c r="B24" s="8">
        <v>2844</v>
      </c>
      <c r="C24" s="8">
        <v>1651</v>
      </c>
      <c r="D24" s="8">
        <f>+B24-C24</f>
        <v>1193</v>
      </c>
    </row>
    <row r="25" spans="1:5" x14ac:dyDescent="0.25">
      <c r="A25" s="5" t="s">
        <v>29</v>
      </c>
      <c r="B25" s="27">
        <f>+B26-B24</f>
        <v>4088</v>
      </c>
      <c r="C25" s="27">
        <f t="shared" ref="C25:D25" si="2">+C26-C24</f>
        <v>1441</v>
      </c>
      <c r="D25" s="27">
        <f t="shared" si="2"/>
        <v>2647</v>
      </c>
    </row>
    <row r="26" spans="1:5" x14ac:dyDescent="0.25">
      <c r="A26" s="2" t="s">
        <v>30</v>
      </c>
      <c r="B26" s="2">
        <v>6932</v>
      </c>
      <c r="C26" s="2">
        <v>3092</v>
      </c>
      <c r="D26" s="2">
        <f t="shared" ref="D26:D30" si="3">+B26-C26</f>
        <v>3840</v>
      </c>
      <c r="E26" s="8">
        <v>3026</v>
      </c>
    </row>
    <row r="27" spans="1:5" x14ac:dyDescent="0.25">
      <c r="A27" s="5" t="s">
        <v>31</v>
      </c>
      <c r="B27" s="2">
        <v>25151</v>
      </c>
      <c r="C27" s="2">
        <v>13358</v>
      </c>
      <c r="D27" s="2">
        <f t="shared" si="3"/>
        <v>11793</v>
      </c>
      <c r="E27" s="2">
        <v>9286</v>
      </c>
    </row>
    <row r="28" spans="1:5" x14ac:dyDescent="0.25">
      <c r="A28" s="5" t="s">
        <v>32</v>
      </c>
      <c r="B28" s="27">
        <f>+B29-SUM(B26:B27)</f>
        <v>24677</v>
      </c>
      <c r="C28" s="27">
        <f>+C29-SUM(C26:C27)</f>
        <v>4465</v>
      </c>
      <c r="D28" s="27">
        <f t="shared" si="3"/>
        <v>20212</v>
      </c>
      <c r="E28" s="2">
        <f>4734+17239</f>
        <v>21973</v>
      </c>
    </row>
    <row r="29" spans="1:5" x14ac:dyDescent="0.25">
      <c r="A29" s="2" t="s">
        <v>33</v>
      </c>
      <c r="B29" s="2">
        <f>56737+23</f>
        <v>56760</v>
      </c>
      <c r="C29" s="2">
        <f>20886+29</f>
        <v>20915</v>
      </c>
      <c r="D29" s="2">
        <f t="shared" si="3"/>
        <v>35845</v>
      </c>
      <c r="E29" s="6">
        <f>SUM(E26:E28)</f>
        <v>34285</v>
      </c>
    </row>
    <row r="30" spans="1:5" x14ac:dyDescent="0.25">
      <c r="A30" s="2" t="s">
        <v>34</v>
      </c>
      <c r="B30" s="2">
        <v>8320</v>
      </c>
      <c r="C30" s="2">
        <v>8320</v>
      </c>
      <c r="D30" s="2">
        <f t="shared" si="3"/>
        <v>0</v>
      </c>
    </row>
    <row r="31" spans="1:5" x14ac:dyDescent="0.25">
      <c r="A31" s="2" t="s">
        <v>35</v>
      </c>
      <c r="B31" s="2">
        <v>57893</v>
      </c>
      <c r="C31" s="2">
        <v>7336</v>
      </c>
      <c r="D31" s="2">
        <f>+B31-C31</f>
        <v>50557</v>
      </c>
      <c r="E31" s="2">
        <f>+E22-E29</f>
        <v>52637</v>
      </c>
    </row>
    <row r="32" spans="1:5" ht="15.75" thickBot="1" x14ac:dyDescent="0.3">
      <c r="A32" s="2" t="s">
        <v>36</v>
      </c>
      <c r="B32" s="9">
        <f>SUM(B29:B31)</f>
        <v>122973</v>
      </c>
      <c r="C32" s="9">
        <f t="shared" ref="C32:E32" si="4">SUM(C29:C31)</f>
        <v>36571</v>
      </c>
      <c r="D32" s="9">
        <f t="shared" si="4"/>
        <v>86402</v>
      </c>
      <c r="E32" s="9">
        <f t="shared" si="4"/>
        <v>86922</v>
      </c>
    </row>
    <row r="33" spans="1:7" ht="15.75" thickTop="1" x14ac:dyDescent="0.25">
      <c r="B33" s="2">
        <f>+B32-B22</f>
        <v>0</v>
      </c>
      <c r="C33" s="2">
        <f>+C32-C22</f>
        <v>0</v>
      </c>
      <c r="D33" s="2">
        <f>+D32-D22</f>
        <v>0</v>
      </c>
      <c r="E33" s="2">
        <f>+E32-E22</f>
        <v>0</v>
      </c>
    </row>
    <row r="34" spans="1:7" x14ac:dyDescent="0.25">
      <c r="A34" s="2" t="s">
        <v>37</v>
      </c>
      <c r="E34" s="8">
        <v>9468</v>
      </c>
    </row>
    <row r="35" spans="1:7" x14ac:dyDescent="0.25">
      <c r="A35" s="2" t="s">
        <v>38</v>
      </c>
      <c r="E35" s="27">
        <v>314</v>
      </c>
    </row>
    <row r="36" spans="1:7" x14ac:dyDescent="0.25">
      <c r="A36" s="2" t="s">
        <v>39</v>
      </c>
      <c r="E36" s="2">
        <f>SUM(E34:E35)</f>
        <v>9782</v>
      </c>
      <c r="F36" s="1">
        <f>+E36/16.5</f>
        <v>592.84848484848487</v>
      </c>
      <c r="G36" s="2" t="s">
        <v>40</v>
      </c>
    </row>
    <row r="37" spans="1:7" x14ac:dyDescent="0.25">
      <c r="A37" s="2" t="s">
        <v>517</v>
      </c>
      <c r="E37" s="2">
        <v>42855</v>
      </c>
      <c r="F37" s="7">
        <f>+E37/F36</f>
        <v>72.28659783275404</v>
      </c>
      <c r="G37" s="2" t="s">
        <v>41</v>
      </c>
    </row>
    <row r="38" spans="1:7" ht="15.75" thickBot="1" x14ac:dyDescent="0.3">
      <c r="A38" s="2" t="s">
        <v>42</v>
      </c>
      <c r="E38" s="9">
        <f>SUM(E36:E37)</f>
        <v>52637</v>
      </c>
      <c r="F38" s="7">
        <f>+E38/F36</f>
        <v>88.78659783275404</v>
      </c>
      <c r="G38" s="2" t="s">
        <v>43</v>
      </c>
    </row>
    <row r="39" spans="1:7" ht="15.75" thickTop="1" x14ac:dyDescent="0.25">
      <c r="F39" s="7">
        <v>61.33</v>
      </c>
      <c r="G39" s="2" t="s">
        <v>44</v>
      </c>
    </row>
    <row r="40" spans="1:7" x14ac:dyDescent="0.25">
      <c r="F40" s="38">
        <f>(+F38-F39)/F38</f>
        <v>0.30924259407341653</v>
      </c>
      <c r="G40" s="2" t="s">
        <v>45</v>
      </c>
    </row>
    <row r="42" spans="1:7" x14ac:dyDescent="0.25">
      <c r="A42" s="2" t="s">
        <v>46</v>
      </c>
    </row>
    <row r="43" spans="1:7" x14ac:dyDescent="0.25">
      <c r="A43" s="2" t="s">
        <v>47</v>
      </c>
    </row>
    <row r="44" spans="1:7" x14ac:dyDescent="0.25">
      <c r="A44" s="2" t="str">
        <f>+A3</f>
        <v>In millions except per share data</v>
      </c>
    </row>
    <row r="45" spans="1:7" x14ac:dyDescent="0.25">
      <c r="B45" s="2" t="s">
        <v>14</v>
      </c>
      <c r="C45" s="2" t="s">
        <v>11</v>
      </c>
    </row>
    <row r="46" spans="1:7" x14ac:dyDescent="0.25">
      <c r="B46" s="2" t="s">
        <v>48</v>
      </c>
      <c r="C46" s="2" t="s">
        <v>14</v>
      </c>
    </row>
    <row r="47" spans="1:7" ht="15.75" thickBot="1" x14ac:dyDescent="0.3">
      <c r="B47" s="39">
        <v>42004</v>
      </c>
      <c r="C47" s="40" t="s">
        <v>49</v>
      </c>
      <c r="D47" s="37" t="s">
        <v>13</v>
      </c>
    </row>
    <row r="48" spans="1:7" x14ac:dyDescent="0.25">
      <c r="A48" s="2" t="s">
        <v>16</v>
      </c>
    </row>
    <row r="49" spans="1:4" x14ac:dyDescent="0.25">
      <c r="A49" s="2" t="s">
        <v>21</v>
      </c>
      <c r="B49" s="8">
        <v>4791</v>
      </c>
      <c r="C49" s="8">
        <f>+E17</f>
        <v>3737</v>
      </c>
      <c r="D49" s="8">
        <f>+C49-B49</f>
        <v>-1054</v>
      </c>
    </row>
    <row r="50" spans="1:4" x14ac:dyDescent="0.25">
      <c r="A50" s="5" t="s">
        <v>22</v>
      </c>
      <c r="B50" s="2">
        <v>4192</v>
      </c>
      <c r="C50" s="2">
        <f t="shared" ref="C50:C54" si="5">+E18</f>
        <v>4193</v>
      </c>
      <c r="D50" s="2">
        <f t="shared" ref="D50:D54" si="6">+C50-B50</f>
        <v>1</v>
      </c>
    </row>
    <row r="51" spans="1:4" x14ac:dyDescent="0.25">
      <c r="A51" s="5" t="s">
        <v>23</v>
      </c>
      <c r="B51" s="2">
        <v>11404</v>
      </c>
      <c r="C51" s="2">
        <f t="shared" si="5"/>
        <v>29029</v>
      </c>
      <c r="D51" s="2">
        <f t="shared" si="6"/>
        <v>17625</v>
      </c>
    </row>
    <row r="52" spans="1:4" x14ac:dyDescent="0.25">
      <c r="A52" s="5" t="s">
        <v>24</v>
      </c>
      <c r="B52" s="2">
        <f>2228+6</f>
        <v>2234</v>
      </c>
      <c r="C52" s="2">
        <f t="shared" si="5"/>
        <v>49749</v>
      </c>
      <c r="D52" s="2">
        <f t="shared" si="6"/>
        <v>47515</v>
      </c>
    </row>
    <row r="53" spans="1:4" x14ac:dyDescent="0.25">
      <c r="A53" s="5" t="s">
        <v>25</v>
      </c>
      <c r="B53" s="2">
        <v>326</v>
      </c>
      <c r="C53" s="2">
        <f t="shared" si="5"/>
        <v>214</v>
      </c>
      <c r="D53" s="2">
        <f t="shared" si="6"/>
        <v>-112</v>
      </c>
    </row>
    <row r="54" spans="1:4" ht="15.75" thickBot="1" x14ac:dyDescent="0.3">
      <c r="A54" s="2" t="s">
        <v>26</v>
      </c>
      <c r="B54" s="9">
        <f>SUM(B49:B53)</f>
        <v>22947</v>
      </c>
      <c r="C54" s="9">
        <f t="shared" si="5"/>
        <v>86922</v>
      </c>
      <c r="D54" s="9">
        <f t="shared" si="6"/>
        <v>63975</v>
      </c>
    </row>
    <row r="55" spans="1:4" ht="15.75" thickTop="1" x14ac:dyDescent="0.25">
      <c r="A55" s="2" t="s">
        <v>27</v>
      </c>
    </row>
    <row r="56" spans="1:4" x14ac:dyDescent="0.25">
      <c r="A56" s="2" t="s">
        <v>30</v>
      </c>
      <c r="B56" s="8">
        <v>4773</v>
      </c>
      <c r="C56" s="8">
        <v>3026</v>
      </c>
      <c r="D56" s="8">
        <f>+C56-B56</f>
        <v>-1747</v>
      </c>
    </row>
    <row r="57" spans="1:4" x14ac:dyDescent="0.25">
      <c r="A57" s="31" t="s">
        <v>31</v>
      </c>
      <c r="B57" s="2">
        <v>8627</v>
      </c>
      <c r="C57" s="2">
        <v>9286</v>
      </c>
      <c r="D57" s="2">
        <f t="shared" ref="D57:D61" si="7">+C57-B57</f>
        <v>659</v>
      </c>
    </row>
    <row r="58" spans="1:4" x14ac:dyDescent="0.25">
      <c r="A58" s="31" t="s">
        <v>32</v>
      </c>
      <c r="B58" s="27">
        <f>340+3399+1443</f>
        <v>5182</v>
      </c>
      <c r="C58" s="2">
        <f>4734+17239</f>
        <v>21973</v>
      </c>
      <c r="D58" s="2">
        <f t="shared" si="7"/>
        <v>16791</v>
      </c>
    </row>
    <row r="59" spans="1:4" x14ac:dyDescent="0.25">
      <c r="A59" s="5" t="s">
        <v>33</v>
      </c>
      <c r="B59" s="2">
        <f>SUM(B56:B58)</f>
        <v>18582</v>
      </c>
      <c r="C59" s="6">
        <f>SUM(C56:C58)</f>
        <v>34285</v>
      </c>
      <c r="D59" s="6">
        <f t="shared" si="7"/>
        <v>15703</v>
      </c>
    </row>
    <row r="60" spans="1:4" x14ac:dyDescent="0.25">
      <c r="A60" s="5" t="s">
        <v>35</v>
      </c>
      <c r="B60" s="2">
        <f>+B54-B59</f>
        <v>4365</v>
      </c>
      <c r="C60" s="2">
        <f>+C54-C59</f>
        <v>52637</v>
      </c>
      <c r="D60" s="2">
        <f t="shared" si="7"/>
        <v>48272</v>
      </c>
    </row>
    <row r="61" spans="1:4" ht="15.75" thickBot="1" x14ac:dyDescent="0.3">
      <c r="A61" s="2" t="s">
        <v>36</v>
      </c>
      <c r="B61" s="9">
        <f>+B60+B59</f>
        <v>22947</v>
      </c>
      <c r="C61" s="9">
        <f>SUM(C59:C60)</f>
        <v>86922</v>
      </c>
      <c r="D61" s="9">
        <f t="shared" si="7"/>
        <v>63975</v>
      </c>
    </row>
    <row r="62" spans="1:4" ht="15.75" thickTop="1" x14ac:dyDescent="0.25"/>
    <row r="64" spans="1:4" x14ac:dyDescent="0.25">
      <c r="A64" s="2" t="s">
        <v>50</v>
      </c>
    </row>
    <row r="65" spans="1:4" x14ac:dyDescent="0.25">
      <c r="A65" s="2" t="s">
        <v>51</v>
      </c>
      <c r="B65" s="2" t="s">
        <v>52</v>
      </c>
    </row>
    <row r="66" spans="1:4" x14ac:dyDescent="0.25">
      <c r="A66" s="3" t="s">
        <v>53</v>
      </c>
      <c r="B66" s="2" t="s">
        <v>54</v>
      </c>
      <c r="C66" s="2" t="s">
        <v>55</v>
      </c>
    </row>
    <row r="67" spans="1:4" x14ac:dyDescent="0.25">
      <c r="A67" s="4">
        <v>2022</v>
      </c>
      <c r="B67" s="7">
        <v>40.71</v>
      </c>
      <c r="C67" s="7">
        <v>1.6</v>
      </c>
    </row>
    <row r="68" spans="1:4" x14ac:dyDescent="0.25">
      <c r="A68" s="4">
        <v>2021</v>
      </c>
      <c r="B68" s="35">
        <v>35.9</v>
      </c>
      <c r="C68" s="35">
        <v>1.6</v>
      </c>
    </row>
    <row r="69" spans="1:4" x14ac:dyDescent="0.25">
      <c r="A69" s="4">
        <f>+A68-1</f>
        <v>2020</v>
      </c>
      <c r="B69" s="35">
        <v>34.659999999999997</v>
      </c>
      <c r="C69" s="35">
        <v>1.6</v>
      </c>
    </row>
    <row r="70" spans="1:4" x14ac:dyDescent="0.25">
      <c r="A70" s="4">
        <f t="shared" ref="A70:A74" si="8">+A69-1</f>
        <v>2019</v>
      </c>
      <c r="B70" s="35">
        <v>32.130000000000003</v>
      </c>
      <c r="C70" s="35">
        <f>0.4*4</f>
        <v>1.6</v>
      </c>
      <c r="D70" s="2" t="s">
        <v>56</v>
      </c>
    </row>
    <row r="71" spans="1:4" x14ac:dyDescent="0.25">
      <c r="A71" s="4">
        <f t="shared" si="8"/>
        <v>2018</v>
      </c>
      <c r="B71" s="35">
        <v>43.04</v>
      </c>
      <c r="C71" s="35">
        <f>0.625*4</f>
        <v>2.5</v>
      </c>
      <c r="D71" s="2" t="s">
        <v>57</v>
      </c>
    </row>
    <row r="72" spans="1:4" x14ac:dyDescent="0.25">
      <c r="A72" s="4">
        <f t="shared" si="8"/>
        <v>2017</v>
      </c>
      <c r="B72" s="35">
        <v>77.760000000000005</v>
      </c>
      <c r="C72" s="35">
        <f>(0.6*2)+(0.625*2)</f>
        <v>2.4500000000000002</v>
      </c>
      <c r="D72" s="2" t="s">
        <v>58</v>
      </c>
    </row>
    <row r="73" spans="1:4" x14ac:dyDescent="0.25">
      <c r="A73" s="4">
        <f t="shared" si="8"/>
        <v>2016</v>
      </c>
      <c r="B73" s="35">
        <v>87.32</v>
      </c>
      <c r="C73" s="35">
        <f>+C74+1.2</f>
        <v>2.3499999999999996</v>
      </c>
    </row>
    <row r="74" spans="1:4" x14ac:dyDescent="0.25">
      <c r="A74" s="4">
        <f t="shared" si="8"/>
        <v>2015</v>
      </c>
      <c r="B74" s="35">
        <v>72.760000000000005</v>
      </c>
      <c r="C74" s="7">
        <f>0.575*2</f>
        <v>1.1499999999999999</v>
      </c>
    </row>
    <row r="75" spans="1:4" x14ac:dyDescent="0.25">
      <c r="A75" s="41" t="s">
        <v>59</v>
      </c>
      <c r="B75" s="7">
        <f>+F37</f>
        <v>72.28659783275404</v>
      </c>
      <c r="C75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F8EC-AEBA-4833-8450-ED5C3C1BA634}">
  <dimension ref="A1:Z240"/>
  <sheetViews>
    <sheetView workbookViewId="0">
      <selection activeCell="P3" sqref="P3"/>
    </sheetView>
  </sheetViews>
  <sheetFormatPr defaultColWidth="9.140625" defaultRowHeight="15" x14ac:dyDescent="0.25"/>
  <cols>
    <col min="1" max="1" width="40.7109375" style="2" customWidth="1"/>
    <col min="2" max="9" width="10.7109375" style="2" customWidth="1"/>
    <col min="10" max="10" width="9.140625" style="2"/>
    <col min="11" max="23" width="8.7109375" style="2" customWidth="1"/>
    <col min="24" max="24" width="9.85546875" style="2" customWidth="1"/>
    <col min="25" max="16384" width="9.140625" style="2"/>
  </cols>
  <sheetData>
    <row r="1" spans="1:24" s="53" customFormat="1" x14ac:dyDescent="0.25">
      <c r="A1" s="66" t="s">
        <v>0</v>
      </c>
      <c r="B1" s="66" t="s">
        <v>60</v>
      </c>
      <c r="C1" s="66"/>
      <c r="D1" s="66"/>
      <c r="E1" s="66"/>
      <c r="F1" s="66"/>
      <c r="G1" s="66"/>
      <c r="H1" s="66"/>
      <c r="I1" s="66"/>
      <c r="K1" s="66" t="str">
        <f>+B1</f>
        <v>As reported</v>
      </c>
      <c r="L1" s="66"/>
      <c r="M1" s="66"/>
      <c r="N1" s="66"/>
      <c r="O1" s="66"/>
      <c r="P1" s="66"/>
      <c r="R1" s="66" t="str">
        <f>+B1</f>
        <v>As reported</v>
      </c>
      <c r="S1" s="66"/>
      <c r="T1" s="66"/>
      <c r="U1" s="66"/>
      <c r="V1" s="66"/>
      <c r="W1" s="66"/>
      <c r="X1" s="66"/>
    </row>
    <row r="2" spans="1:24" s="53" customFormat="1" x14ac:dyDescent="0.25">
      <c r="A2" s="66" t="s">
        <v>61</v>
      </c>
      <c r="B2" s="66"/>
      <c r="C2" s="66"/>
      <c r="D2" s="66"/>
      <c r="E2" s="66"/>
      <c r="F2" s="66"/>
      <c r="G2" s="66"/>
      <c r="H2" s="66"/>
      <c r="I2" s="66"/>
      <c r="K2" s="66" t="s">
        <v>62</v>
      </c>
      <c r="L2" s="66"/>
      <c r="M2" s="66"/>
      <c r="N2" s="66"/>
      <c r="O2" s="66"/>
      <c r="P2" s="66"/>
      <c r="R2" s="66" t="s">
        <v>63</v>
      </c>
      <c r="S2" s="66"/>
      <c r="T2" s="66"/>
      <c r="U2" s="66"/>
      <c r="V2" s="66"/>
      <c r="W2" s="66"/>
      <c r="X2" s="66"/>
    </row>
    <row r="3" spans="1:24" s="53" customFormat="1" x14ac:dyDescent="0.25">
      <c r="A3" s="66" t="s">
        <v>64</v>
      </c>
      <c r="B3" s="66"/>
      <c r="C3" s="66"/>
      <c r="D3" s="66"/>
      <c r="E3" s="66"/>
      <c r="F3" s="66" t="s">
        <v>65</v>
      </c>
      <c r="G3" s="72" t="s">
        <v>66</v>
      </c>
      <c r="H3" s="67"/>
      <c r="I3" s="67"/>
      <c r="K3" s="66"/>
      <c r="L3" s="66"/>
      <c r="M3" s="66"/>
      <c r="N3" s="66"/>
      <c r="O3" s="66"/>
      <c r="P3" s="72" t="s">
        <v>66</v>
      </c>
      <c r="R3" s="66" t="s">
        <v>67</v>
      </c>
      <c r="S3" s="66" t="s">
        <v>68</v>
      </c>
      <c r="T3" s="66" t="s">
        <v>69</v>
      </c>
      <c r="U3" s="66" t="s">
        <v>70</v>
      </c>
      <c r="V3" s="66" t="s">
        <v>71</v>
      </c>
      <c r="W3" s="66" t="s">
        <v>72</v>
      </c>
      <c r="X3" s="66" t="s">
        <v>73</v>
      </c>
    </row>
    <row r="4" spans="1:24" s="53" customFormat="1" ht="15.75" thickBot="1" x14ac:dyDescent="0.3">
      <c r="A4" s="67" t="s">
        <v>479</v>
      </c>
      <c r="B4" s="68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69">
        <v>2016</v>
      </c>
      <c r="I4" s="69">
        <v>2015</v>
      </c>
      <c r="K4" s="68">
        <v>2022</v>
      </c>
      <c r="L4" s="69">
        <v>2021</v>
      </c>
      <c r="M4" s="69">
        <v>2020</v>
      </c>
      <c r="N4" s="69">
        <v>2019</v>
      </c>
      <c r="O4" s="69">
        <v>2018</v>
      </c>
      <c r="P4" s="69">
        <v>2017</v>
      </c>
      <c r="R4" s="70" t="s">
        <v>75</v>
      </c>
      <c r="S4" s="70" t="s">
        <v>76</v>
      </c>
      <c r="T4" s="71">
        <v>2022</v>
      </c>
      <c r="U4" s="71">
        <v>2021</v>
      </c>
      <c r="V4" s="71">
        <v>2020</v>
      </c>
      <c r="W4" s="71">
        <v>2019</v>
      </c>
      <c r="X4" s="71">
        <v>2018</v>
      </c>
    </row>
    <row r="5" spans="1:24" x14ac:dyDescent="0.25">
      <c r="A5" s="2" t="s">
        <v>77</v>
      </c>
    </row>
    <row r="6" spans="1:24" x14ac:dyDescent="0.25">
      <c r="A6" s="5" t="s">
        <v>78</v>
      </c>
      <c r="B6" s="8">
        <v>1040</v>
      </c>
      <c r="C6" s="8">
        <v>3445</v>
      </c>
      <c r="D6" s="8">
        <v>3417</v>
      </c>
      <c r="E6" s="8">
        <v>2279</v>
      </c>
      <c r="F6" s="8">
        <v>1130</v>
      </c>
      <c r="G6" s="8">
        <v>1629</v>
      </c>
      <c r="H6" s="8"/>
      <c r="I6" s="8"/>
      <c r="K6" s="25">
        <f t="shared" ref="K6:K18" si="0">+B6/B$18</f>
        <v>1.14900622010098E-2</v>
      </c>
      <c r="L6" s="25">
        <f t="shared" ref="L6:L18" si="1">+C6/C$18</f>
        <v>3.6886737906075336E-2</v>
      </c>
      <c r="M6" s="25">
        <f t="shared" ref="M6:M18" si="2">+D6/D$18</f>
        <v>3.4228187919463089E-2</v>
      </c>
      <c r="N6" s="25">
        <f t="shared" ref="N6:N18" si="3">+E6/E$18</f>
        <v>2.2464268112370626E-2</v>
      </c>
      <c r="O6" s="25">
        <f t="shared" ref="O6:O18" si="4">+F6/F$18</f>
        <v>1.0921989928572119E-2</v>
      </c>
      <c r="P6" s="25">
        <f t="shared" ref="P6:P18" si="5">+G6/G$18</f>
        <v>1.3564600472970723E-2</v>
      </c>
      <c r="R6" s="25">
        <f t="shared" ref="R6:R18" si="6">RATE(5,0,-G6,B6)</f>
        <v>-8.5839501919465239E-2</v>
      </c>
      <c r="S6" s="25">
        <f>AVERAGE(T6:X6)</f>
        <v>0.10398283867061812</v>
      </c>
      <c r="T6" s="25">
        <f t="shared" ref="T6:T18" si="7">(+B6-C6)/C6</f>
        <v>-0.69811320754716977</v>
      </c>
      <c r="U6" s="25">
        <f t="shared" ref="U6:U18" si="8">(+C6-D6)/D6</f>
        <v>8.194322505121452E-3</v>
      </c>
      <c r="V6" s="25">
        <f t="shared" ref="V6:V18" si="9">(+D6-E6)/E6</f>
        <v>0.49934181658622201</v>
      </c>
      <c r="W6" s="25">
        <f t="shared" ref="W6:W18" si="10">(+E6-F6)/F6</f>
        <v>1.0168141592920354</v>
      </c>
      <c r="X6" s="25">
        <f t="shared" ref="X6:X18" si="11">(+F6-G6)/G6</f>
        <v>-0.30632289748311847</v>
      </c>
    </row>
    <row r="7" spans="1:24" x14ac:dyDescent="0.25">
      <c r="A7" s="5" t="s">
        <v>18</v>
      </c>
      <c r="B7" s="2">
        <v>2120</v>
      </c>
      <c r="C7" s="2">
        <v>1957</v>
      </c>
      <c r="D7" s="2">
        <v>2063</v>
      </c>
      <c r="E7" s="2">
        <v>1973</v>
      </c>
      <c r="F7" s="2">
        <v>2129</v>
      </c>
      <c r="G7" s="2">
        <v>921</v>
      </c>
      <c r="K7" s="25">
        <f t="shared" si="0"/>
        <v>2.3422049871289208E-2</v>
      </c>
      <c r="L7" s="25">
        <f t="shared" si="1"/>
        <v>2.095423688887937E-2</v>
      </c>
      <c r="M7" s="25">
        <f t="shared" si="2"/>
        <v>2.0665130722227788E-2</v>
      </c>
      <c r="N7" s="25">
        <f t="shared" si="3"/>
        <v>1.944800394282898E-2</v>
      </c>
      <c r="O7" s="25">
        <f t="shared" si="4"/>
        <v>2.0577802263654903E-2</v>
      </c>
      <c r="P7" s="25">
        <f t="shared" si="5"/>
        <v>7.669120341071845E-3</v>
      </c>
      <c r="R7" s="25">
        <f t="shared" si="6"/>
        <v>0.18144972663460698</v>
      </c>
      <c r="S7" s="25">
        <f t="shared" ref="S7:S18" si="12">AVERAGE(T7:X7)</f>
        <v>0.26317381012087437</v>
      </c>
      <c r="T7" s="25">
        <f t="shared" si="7"/>
        <v>8.3290751149718956E-2</v>
      </c>
      <c r="U7" s="25">
        <f t="shared" si="8"/>
        <v>-5.1381483276781388E-2</v>
      </c>
      <c r="V7" s="25">
        <f t="shared" si="9"/>
        <v>4.5615813482007099E-2</v>
      </c>
      <c r="W7" s="25">
        <f t="shared" si="10"/>
        <v>-7.3273837482386098E-2</v>
      </c>
      <c r="X7" s="25">
        <f t="shared" si="11"/>
        <v>1.3116178067318132</v>
      </c>
    </row>
    <row r="8" spans="1:24" x14ac:dyDescent="0.25">
      <c r="A8" s="5" t="s">
        <v>79</v>
      </c>
      <c r="B8" s="2">
        <v>0</v>
      </c>
      <c r="C8" s="2">
        <v>0</v>
      </c>
      <c r="D8" s="2">
        <v>0</v>
      </c>
      <c r="E8" s="2">
        <v>0</v>
      </c>
      <c r="F8" s="2">
        <v>152</v>
      </c>
      <c r="G8" s="2">
        <v>538</v>
      </c>
      <c r="K8" s="25">
        <f t="shared" si="0"/>
        <v>0</v>
      </c>
      <c r="L8" s="25">
        <f t="shared" si="1"/>
        <v>0</v>
      </c>
      <c r="M8" s="25">
        <f t="shared" si="2"/>
        <v>0</v>
      </c>
      <c r="N8" s="25">
        <f t="shared" si="3"/>
        <v>0</v>
      </c>
      <c r="O8" s="25">
        <f t="shared" si="4"/>
        <v>1.4691526275601434E-3</v>
      </c>
      <c r="P8" s="25">
        <f t="shared" si="5"/>
        <v>4.4798987442960401E-3</v>
      </c>
      <c r="R8" s="25">
        <f t="shared" si="6"/>
        <v>-0.99999940914518248</v>
      </c>
      <c r="S8" s="25">
        <f t="shared" si="12"/>
        <v>-0.85873605947955389</v>
      </c>
      <c r="T8" s="25"/>
      <c r="U8" s="25"/>
      <c r="V8" s="25"/>
      <c r="W8" s="25">
        <f t="shared" si="10"/>
        <v>-1</v>
      </c>
      <c r="X8" s="25">
        <f t="shared" si="11"/>
        <v>-0.71747211895910779</v>
      </c>
    </row>
    <row r="9" spans="1:24" x14ac:dyDescent="0.25">
      <c r="A9" s="5" t="s">
        <v>19</v>
      </c>
      <c r="B9" s="2">
        <v>3651</v>
      </c>
      <c r="C9" s="2">
        <v>2729</v>
      </c>
      <c r="D9" s="2">
        <v>2554</v>
      </c>
      <c r="E9" s="2">
        <v>2721</v>
      </c>
      <c r="F9" s="2">
        <v>2667</v>
      </c>
      <c r="G9" s="2">
        <v>2760</v>
      </c>
      <c r="K9" s="25">
        <f t="shared" si="0"/>
        <v>4.0336747207583443E-2</v>
      </c>
      <c r="L9" s="25">
        <f t="shared" si="1"/>
        <v>2.9220292524145021E-2</v>
      </c>
      <c r="M9" s="25">
        <f t="shared" si="2"/>
        <v>2.5583491936291697E-2</v>
      </c>
      <c r="N9" s="25">
        <f t="shared" si="3"/>
        <v>2.6821094135041891E-2</v>
      </c>
      <c r="O9" s="25">
        <f t="shared" si="4"/>
        <v>2.5777829326992779E-2</v>
      </c>
      <c r="P9" s="25">
        <f t="shared" si="5"/>
        <v>2.2982380175199015E-2</v>
      </c>
      <c r="R9" s="25">
        <f t="shared" si="6"/>
        <v>5.7549124818983735E-2</v>
      </c>
      <c r="S9" s="25">
        <f t="shared" si="12"/>
        <v>6.6309996838441923E-2</v>
      </c>
      <c r="T9" s="25">
        <f t="shared" si="7"/>
        <v>0.337852693294247</v>
      </c>
      <c r="U9" s="25">
        <f t="shared" si="8"/>
        <v>6.8519968676585746E-2</v>
      </c>
      <c r="V9" s="25">
        <f t="shared" si="9"/>
        <v>-6.1374494671076807E-2</v>
      </c>
      <c r="W9" s="25">
        <f t="shared" si="10"/>
        <v>2.0247469066366704E-2</v>
      </c>
      <c r="X9" s="25">
        <f t="shared" si="11"/>
        <v>-3.3695652173913043E-2</v>
      </c>
    </row>
    <row r="10" spans="1:24" x14ac:dyDescent="0.25">
      <c r="A10" s="5" t="s">
        <v>80</v>
      </c>
      <c r="B10" s="2">
        <v>240</v>
      </c>
      <c r="C10" s="2">
        <v>136</v>
      </c>
      <c r="D10" s="2">
        <v>351</v>
      </c>
      <c r="E10" s="2">
        <v>384</v>
      </c>
      <c r="F10" s="2">
        <v>400</v>
      </c>
      <c r="G10" s="2">
        <v>345</v>
      </c>
      <c r="K10" s="25">
        <f t="shared" si="0"/>
        <v>2.6515528156176461E-3</v>
      </c>
      <c r="L10" s="25">
        <f t="shared" si="1"/>
        <v>1.4561963295286636E-3</v>
      </c>
      <c r="M10" s="25">
        <f t="shared" si="2"/>
        <v>3.5159771611739956E-3</v>
      </c>
      <c r="N10" s="25">
        <f t="shared" si="3"/>
        <v>3.7851158206012813E-3</v>
      </c>
      <c r="O10" s="25">
        <f t="shared" si="4"/>
        <v>3.8661911251582724E-3</v>
      </c>
      <c r="P10" s="25">
        <f t="shared" si="5"/>
        <v>2.8727975218998769E-3</v>
      </c>
      <c r="R10" s="25">
        <f t="shared" si="6"/>
        <v>-7.0009677432707695E-2</v>
      </c>
      <c r="S10" s="25">
        <f t="shared" si="12"/>
        <v>3.7130611934480209E-2</v>
      </c>
      <c r="T10" s="25">
        <f t="shared" si="7"/>
        <v>0.76470588235294112</v>
      </c>
      <c r="U10" s="25">
        <f t="shared" si="8"/>
        <v>-0.61253561253561251</v>
      </c>
      <c r="V10" s="25">
        <f t="shared" si="9"/>
        <v>-8.59375E-2</v>
      </c>
      <c r="W10" s="25">
        <f t="shared" si="10"/>
        <v>-0.04</v>
      </c>
      <c r="X10" s="25">
        <f t="shared" si="11"/>
        <v>0.15942028985507245</v>
      </c>
    </row>
    <row r="11" spans="1:24" x14ac:dyDescent="0.25">
      <c r="A11" s="5" t="s">
        <v>20</v>
      </c>
      <c r="B11" s="2">
        <v>842</v>
      </c>
      <c r="C11" s="2">
        <v>716</v>
      </c>
      <c r="D11" s="2">
        <v>574</v>
      </c>
      <c r="E11" s="2">
        <v>618</v>
      </c>
      <c r="F11" s="2">
        <v>1221</v>
      </c>
      <c r="G11" s="2">
        <v>655</v>
      </c>
      <c r="K11" s="25">
        <f t="shared" si="0"/>
        <v>9.3025311281252424E-3</v>
      </c>
      <c r="L11" s="25">
        <f t="shared" si="1"/>
        <v>7.6664453819303164E-3</v>
      </c>
      <c r="M11" s="25">
        <f t="shared" si="2"/>
        <v>5.7497746168486425E-3</v>
      </c>
      <c r="N11" s="25">
        <f t="shared" si="3"/>
        <v>6.091670773780187E-3</v>
      </c>
      <c r="O11" s="25">
        <f t="shared" si="4"/>
        <v>1.1801548409545625E-2</v>
      </c>
      <c r="P11" s="25">
        <f t="shared" si="5"/>
        <v>5.4541518169403461E-3</v>
      </c>
      <c r="R11" s="25">
        <f t="shared" si="6"/>
        <v>5.1511818464607374E-2</v>
      </c>
      <c r="S11" s="25">
        <f t="shared" si="12"/>
        <v>0.1444863291514033</v>
      </c>
      <c r="T11" s="25">
        <f t="shared" si="7"/>
        <v>0.17597765363128492</v>
      </c>
      <c r="U11" s="25">
        <f t="shared" si="8"/>
        <v>0.24738675958188153</v>
      </c>
      <c r="V11" s="25">
        <f t="shared" si="9"/>
        <v>-7.1197411003236247E-2</v>
      </c>
      <c r="W11" s="25">
        <f t="shared" si="10"/>
        <v>-0.49385749385749383</v>
      </c>
      <c r="X11" s="25">
        <f t="shared" si="11"/>
        <v>0.8641221374045801</v>
      </c>
    </row>
    <row r="12" spans="1:24" x14ac:dyDescent="0.25">
      <c r="A12" s="5" t="s">
        <v>81</v>
      </c>
      <c r="B12" s="2">
        <v>4</v>
      </c>
      <c r="C12" s="2">
        <v>11</v>
      </c>
      <c r="D12" s="2">
        <v>1863</v>
      </c>
      <c r="E12" s="2">
        <v>122</v>
      </c>
      <c r="F12" s="2">
        <v>1376</v>
      </c>
      <c r="G12" s="2">
        <v>353</v>
      </c>
      <c r="H12" s="30"/>
      <c r="I12" s="30"/>
      <c r="K12" s="26">
        <f t="shared" si="0"/>
        <v>4.4192546926960765E-5</v>
      </c>
      <c r="L12" s="26">
        <f t="shared" si="1"/>
        <v>1.1778058547658308E-4</v>
      </c>
      <c r="M12" s="26">
        <f t="shared" si="2"/>
        <v>1.8661724932385056E-2</v>
      </c>
      <c r="N12" s="26">
        <f t="shared" si="3"/>
        <v>1.2025628388368655E-3</v>
      </c>
      <c r="O12" s="26">
        <f t="shared" si="4"/>
        <v>1.3299697470544457E-2</v>
      </c>
      <c r="P12" s="26">
        <f t="shared" si="5"/>
        <v>2.9394131166105984E-3</v>
      </c>
      <c r="Q12" s="30"/>
      <c r="R12" s="26">
        <f t="shared" si="6"/>
        <v>-0.59181498497391294</v>
      </c>
      <c r="S12" s="26">
        <f t="shared" si="12"/>
        <v>2.9253424819919362</v>
      </c>
      <c r="T12" s="26">
        <f t="shared" si="7"/>
        <v>-0.63636363636363635</v>
      </c>
      <c r="U12" s="26">
        <f t="shared" si="8"/>
        <v>-0.99409554482018248</v>
      </c>
      <c r="V12" s="26">
        <f t="shared" si="9"/>
        <v>14.270491803278688</v>
      </c>
      <c r="W12" s="26">
        <f t="shared" si="10"/>
        <v>-0.91133720930232553</v>
      </c>
      <c r="X12" s="26">
        <f t="shared" si="11"/>
        <v>2.8980169971671388</v>
      </c>
    </row>
    <row r="13" spans="1:24" x14ac:dyDescent="0.25">
      <c r="A13" s="2" t="s">
        <v>21</v>
      </c>
      <c r="B13" s="6">
        <f>SUM(B6:B12)</f>
        <v>7897</v>
      </c>
      <c r="C13" s="6">
        <f t="shared" ref="C13:G13" si="13">SUM(C6:C12)</f>
        <v>8994</v>
      </c>
      <c r="D13" s="6">
        <f t="shared" si="13"/>
        <v>10822</v>
      </c>
      <c r="E13" s="6">
        <f t="shared" si="13"/>
        <v>8097</v>
      </c>
      <c r="F13" s="6">
        <f t="shared" si="13"/>
        <v>9075</v>
      </c>
      <c r="G13" s="6">
        <f t="shared" si="13"/>
        <v>7201</v>
      </c>
      <c r="H13" s="32">
        <v>8753</v>
      </c>
      <c r="I13" s="32">
        <v>9780</v>
      </c>
      <c r="K13" s="25">
        <f t="shared" si="0"/>
        <v>8.7247135770552292E-2</v>
      </c>
      <c r="L13" s="25">
        <f t="shared" si="1"/>
        <v>9.6301689616035288E-2</v>
      </c>
      <c r="M13" s="25">
        <f t="shared" si="2"/>
        <v>0.10840428728839026</v>
      </c>
      <c r="N13" s="25">
        <f t="shared" si="3"/>
        <v>7.9812715623459832E-2</v>
      </c>
      <c r="O13" s="25">
        <f t="shared" si="4"/>
        <v>8.7714211152028307E-2</v>
      </c>
      <c r="P13" s="25">
        <f t="shared" si="5"/>
        <v>5.9962362188988441E-2</v>
      </c>
      <c r="Q13" s="30"/>
      <c r="R13" s="25">
        <f t="shared" si="6"/>
        <v>1.8623908433372451E-2</v>
      </c>
      <c r="S13" s="25">
        <f t="shared" si="12"/>
        <v>3.9626412414418111E-2</v>
      </c>
      <c r="T13" s="25">
        <f t="shared" si="7"/>
        <v>-0.12197020235712697</v>
      </c>
      <c r="U13" s="25">
        <f t="shared" si="8"/>
        <v>-0.16891517279615598</v>
      </c>
      <c r="V13" s="25">
        <f t="shared" si="9"/>
        <v>0.33654439916018281</v>
      </c>
      <c r="W13" s="25">
        <f t="shared" si="10"/>
        <v>-0.10776859504132232</v>
      </c>
      <c r="X13" s="25">
        <f t="shared" si="11"/>
        <v>0.26024163310651299</v>
      </c>
    </row>
    <row r="14" spans="1:24" x14ac:dyDescent="0.25">
      <c r="A14" s="5" t="s">
        <v>82</v>
      </c>
      <c r="B14" s="2">
        <v>6740</v>
      </c>
      <c r="C14" s="2">
        <v>6806</v>
      </c>
      <c r="D14" s="2">
        <v>6876</v>
      </c>
      <c r="E14" s="2">
        <v>7055</v>
      </c>
      <c r="F14" s="2">
        <v>7078</v>
      </c>
      <c r="G14" s="2">
        <v>7061</v>
      </c>
      <c r="H14" s="2">
        <v>6688</v>
      </c>
      <c r="I14" s="2">
        <v>6524</v>
      </c>
      <c r="K14" s="25">
        <f t="shared" si="0"/>
        <v>7.4464441571928899E-2</v>
      </c>
      <c r="L14" s="25">
        <f t="shared" si="1"/>
        <v>7.2874060432147669E-2</v>
      </c>
      <c r="M14" s="25">
        <f t="shared" si="2"/>
        <v>6.8877091054793144E-2</v>
      </c>
      <c r="N14" s="25">
        <f t="shared" si="3"/>
        <v>6.9541646131099061E-2</v>
      </c>
      <c r="O14" s="25">
        <f t="shared" si="4"/>
        <v>6.8412251959675624E-2</v>
      </c>
      <c r="P14" s="25">
        <f t="shared" si="5"/>
        <v>5.8796589281550814E-2</v>
      </c>
      <c r="Q14" s="30"/>
      <c r="R14" s="25">
        <f t="shared" si="6"/>
        <v>-9.2621911140529506E-3</v>
      </c>
      <c r="S14" s="25">
        <f t="shared" si="12"/>
        <v>-9.2183308706207286E-3</v>
      </c>
      <c r="T14" s="25">
        <f t="shared" si="7"/>
        <v>-9.6973258889215402E-3</v>
      </c>
      <c r="U14" s="25">
        <f t="shared" si="8"/>
        <v>-1.0180337405468295E-2</v>
      </c>
      <c r="V14" s="25">
        <f t="shared" si="9"/>
        <v>-2.5372076541459957E-2</v>
      </c>
      <c r="W14" s="25">
        <f t="shared" si="10"/>
        <v>-3.2495055100310822E-3</v>
      </c>
      <c r="X14" s="25">
        <f t="shared" si="11"/>
        <v>2.407590992777227E-3</v>
      </c>
    </row>
    <row r="15" spans="1:24" x14ac:dyDescent="0.25">
      <c r="A15" s="5" t="s">
        <v>23</v>
      </c>
      <c r="B15" s="2">
        <v>30833</v>
      </c>
      <c r="C15" s="2">
        <v>31296</v>
      </c>
      <c r="D15" s="2">
        <v>33089</v>
      </c>
      <c r="E15" s="2">
        <v>35546</v>
      </c>
      <c r="F15" s="2">
        <v>36503</v>
      </c>
      <c r="G15" s="2">
        <v>44825</v>
      </c>
      <c r="H15" s="2">
        <v>44125</v>
      </c>
      <c r="I15" s="2">
        <v>43051</v>
      </c>
      <c r="K15" s="25">
        <f t="shared" si="0"/>
        <v>0.34064719984974534</v>
      </c>
      <c r="L15" s="25">
        <f t="shared" si="1"/>
        <v>0.33509647300683126</v>
      </c>
      <c r="M15" s="25">
        <f t="shared" si="2"/>
        <v>0.3314534709005309</v>
      </c>
      <c r="N15" s="25">
        <f t="shared" si="3"/>
        <v>0.35037949728930506</v>
      </c>
      <c r="O15" s="25">
        <f t="shared" si="4"/>
        <v>0.35281893660413105</v>
      </c>
      <c r="P15" s="25">
        <f t="shared" si="5"/>
        <v>0.37325550411351299</v>
      </c>
      <c r="Q15" s="30"/>
      <c r="R15" s="25">
        <f t="shared" si="6"/>
        <v>-7.2104439321893851E-2</v>
      </c>
      <c r="S15" s="25">
        <f t="shared" si="12"/>
        <v>-6.999509320131285E-2</v>
      </c>
      <c r="T15" s="25">
        <f t="shared" si="7"/>
        <v>-1.4794222903885481E-2</v>
      </c>
      <c r="U15" s="25">
        <f t="shared" si="8"/>
        <v>-5.4187192118226604E-2</v>
      </c>
      <c r="V15" s="25">
        <f t="shared" si="9"/>
        <v>-6.9121701457266635E-2</v>
      </c>
      <c r="W15" s="25">
        <f t="shared" si="10"/>
        <v>-2.6217023258362327E-2</v>
      </c>
      <c r="X15" s="25">
        <f t="shared" si="11"/>
        <v>-0.1856553262688232</v>
      </c>
    </row>
    <row r="16" spans="1:24" x14ac:dyDescent="0.25">
      <c r="A16" s="5" t="s">
        <v>83</v>
      </c>
      <c r="B16" s="2">
        <v>42649</v>
      </c>
      <c r="C16" s="2">
        <v>43542</v>
      </c>
      <c r="D16" s="2">
        <v>46667</v>
      </c>
      <c r="E16" s="2">
        <v>48652</v>
      </c>
      <c r="F16" s="2">
        <v>49468</v>
      </c>
      <c r="G16" s="2">
        <v>59432</v>
      </c>
      <c r="H16" s="2">
        <v>59297</v>
      </c>
      <c r="I16" s="2">
        <v>62120</v>
      </c>
      <c r="K16" s="25">
        <f t="shared" si="0"/>
        <v>0.47119198347198743</v>
      </c>
      <c r="L16" s="25">
        <f t="shared" si="1"/>
        <v>0.46621838662012549</v>
      </c>
      <c r="M16" s="25">
        <f t="shared" si="2"/>
        <v>0.46746468997295404</v>
      </c>
      <c r="N16" s="25">
        <f t="shared" si="3"/>
        <v>0.4795662888122228</v>
      </c>
      <c r="O16" s="25">
        <f t="shared" si="4"/>
        <v>0.47813185644832351</v>
      </c>
      <c r="P16" s="25">
        <f t="shared" si="5"/>
        <v>0.49488725310595211</v>
      </c>
      <c r="Q16" s="30"/>
      <c r="R16" s="25">
        <f t="shared" si="6"/>
        <v>-6.4211505046658401E-2</v>
      </c>
      <c r="S16" s="25">
        <f t="shared" si="12"/>
        <v>-6.2484401974492662E-2</v>
      </c>
      <c r="T16" s="25">
        <f t="shared" si="7"/>
        <v>-2.050893390289835E-2</v>
      </c>
      <c r="U16" s="25">
        <f t="shared" si="8"/>
        <v>-6.6963807401375711E-2</v>
      </c>
      <c r="V16" s="25">
        <f t="shared" si="9"/>
        <v>-4.0799967113376634E-2</v>
      </c>
      <c r="W16" s="25">
        <f t="shared" si="10"/>
        <v>-1.6495512250343656E-2</v>
      </c>
      <c r="X16" s="25">
        <f t="shared" si="11"/>
        <v>-0.16765378920446897</v>
      </c>
    </row>
    <row r="17" spans="1:24" x14ac:dyDescent="0.25">
      <c r="A17" s="5" t="s">
        <v>25</v>
      </c>
      <c r="B17" s="2">
        <v>2394</v>
      </c>
      <c r="C17" s="2">
        <v>2756</v>
      </c>
      <c r="D17" s="2">
        <v>2376</v>
      </c>
      <c r="E17" s="2">
        <v>2100</v>
      </c>
      <c r="F17" s="2">
        <v>1337</v>
      </c>
      <c r="G17" s="2">
        <v>1573</v>
      </c>
      <c r="H17" s="2">
        <v>1617</v>
      </c>
      <c r="I17" s="2">
        <v>1498</v>
      </c>
      <c r="K17" s="25">
        <f t="shared" si="0"/>
        <v>2.644923933578602E-2</v>
      </c>
      <c r="L17" s="25">
        <f t="shared" si="1"/>
        <v>2.9509390324860271E-2</v>
      </c>
      <c r="M17" s="25">
        <f t="shared" si="2"/>
        <v>2.3800460783331662E-2</v>
      </c>
      <c r="N17" s="25">
        <f t="shared" si="3"/>
        <v>2.0699852143913258E-2</v>
      </c>
      <c r="O17" s="25">
        <f t="shared" si="4"/>
        <v>1.2922743835841525E-2</v>
      </c>
      <c r="P17" s="25">
        <f t="shared" si="5"/>
        <v>1.309829130999567E-2</v>
      </c>
      <c r="Q17" s="30"/>
      <c r="R17" s="25">
        <f t="shared" si="6"/>
        <v>8.7624757141983964E-2</v>
      </c>
      <c r="S17" s="25">
        <f t="shared" si="12"/>
        <v>0.11613205818897629</v>
      </c>
      <c r="T17" s="25">
        <f t="shared" si="7"/>
        <v>-0.13134978229317851</v>
      </c>
      <c r="U17" s="25">
        <f t="shared" si="8"/>
        <v>0.15993265993265993</v>
      </c>
      <c r="V17" s="25">
        <f t="shared" si="9"/>
        <v>0.13142857142857142</v>
      </c>
      <c r="W17" s="25">
        <f t="shared" si="10"/>
        <v>0.5706806282722513</v>
      </c>
      <c r="X17" s="25">
        <f t="shared" si="11"/>
        <v>-0.15003178639542275</v>
      </c>
    </row>
    <row r="18" spans="1:24" ht="15.75" thickBot="1" x14ac:dyDescent="0.3">
      <c r="A18" s="2" t="s">
        <v>84</v>
      </c>
      <c r="B18" s="9">
        <f>SUM(B13:B17)</f>
        <v>90513</v>
      </c>
      <c r="C18" s="9">
        <f t="shared" ref="C18:I18" si="14">SUM(C13:C17)</f>
        <v>93394</v>
      </c>
      <c r="D18" s="9">
        <f t="shared" si="14"/>
        <v>99830</v>
      </c>
      <c r="E18" s="9">
        <f t="shared" si="14"/>
        <v>101450</v>
      </c>
      <c r="F18" s="9">
        <f t="shared" si="14"/>
        <v>103461</v>
      </c>
      <c r="G18" s="9">
        <f t="shared" si="14"/>
        <v>120092</v>
      </c>
      <c r="H18" s="9">
        <f t="shared" si="14"/>
        <v>120480</v>
      </c>
      <c r="I18" s="9">
        <f t="shared" si="14"/>
        <v>122973</v>
      </c>
      <c r="K18" s="28">
        <f t="shared" si="0"/>
        <v>1</v>
      </c>
      <c r="L18" s="28">
        <f t="shared" si="1"/>
        <v>1</v>
      </c>
      <c r="M18" s="28">
        <f t="shared" si="2"/>
        <v>1</v>
      </c>
      <c r="N18" s="28">
        <f t="shared" si="3"/>
        <v>1</v>
      </c>
      <c r="O18" s="28">
        <f t="shared" si="4"/>
        <v>1</v>
      </c>
      <c r="P18" s="28">
        <f t="shared" si="5"/>
        <v>1</v>
      </c>
      <c r="Q18" s="30"/>
      <c r="R18" s="28">
        <f t="shared" si="6"/>
        <v>-5.4983532564241197E-2</v>
      </c>
      <c r="S18" s="28">
        <f t="shared" si="12"/>
        <v>-5.3841726418039616E-2</v>
      </c>
      <c r="T18" s="28">
        <f t="shared" si="7"/>
        <v>-3.084780606891235E-2</v>
      </c>
      <c r="U18" s="28">
        <f t="shared" si="8"/>
        <v>-6.4469598317139137E-2</v>
      </c>
      <c r="V18" s="28">
        <f t="shared" si="9"/>
        <v>-1.5968457368161656E-2</v>
      </c>
      <c r="W18" s="28">
        <f t="shared" si="10"/>
        <v>-1.9437275881733215E-2</v>
      </c>
      <c r="X18" s="28">
        <f t="shared" si="11"/>
        <v>-0.13848549445425173</v>
      </c>
    </row>
    <row r="19" spans="1:24" ht="15.75" thickTop="1" x14ac:dyDescent="0.25">
      <c r="A19" s="2" t="s">
        <v>85</v>
      </c>
      <c r="Q19" s="30"/>
    </row>
    <row r="20" spans="1:24" x14ac:dyDescent="0.25">
      <c r="A20" s="5" t="s">
        <v>86</v>
      </c>
      <c r="B20" s="8">
        <v>6</v>
      </c>
      <c r="C20" s="8">
        <v>14</v>
      </c>
      <c r="D20" s="8">
        <v>6</v>
      </c>
      <c r="E20" s="8">
        <v>6</v>
      </c>
      <c r="F20" s="8">
        <v>21</v>
      </c>
      <c r="G20" s="8">
        <v>462</v>
      </c>
      <c r="H20" s="8"/>
      <c r="I20" s="8"/>
      <c r="K20" s="25">
        <f t="shared" ref="K20:K44" si="15">+B20/B$18</f>
        <v>6.6288820390441154E-5</v>
      </c>
      <c r="L20" s="25">
        <f t="shared" ref="L20:L44" si="16">+C20/C$18</f>
        <v>1.4990256333383302E-4</v>
      </c>
      <c r="M20" s="25">
        <f t="shared" ref="M20:M44" si="17">+D20/D$18</f>
        <v>6.0102173695281982E-5</v>
      </c>
      <c r="N20" s="25">
        <f t="shared" ref="N20:N44" si="18">+E20/E$18</f>
        <v>5.914243469689502E-5</v>
      </c>
      <c r="O20" s="25">
        <f t="shared" ref="O20:O44" si="19">+F20/F$18</f>
        <v>2.0297503407080928E-4</v>
      </c>
      <c r="P20" s="25">
        <f t="shared" ref="P20:P44" si="20">+G20/G$18</f>
        <v>3.8470505945441828E-3</v>
      </c>
      <c r="Q20" s="30"/>
      <c r="R20" s="25">
        <f t="shared" ref="R20:R44" si="21">RATE(5,0,-G20,B20)</f>
        <v>-0.58052908347039545</v>
      </c>
      <c r="S20" s="25">
        <f t="shared" ref="S20:S44" si="22">AVERAGE(T20:X20)</f>
        <v>-0.1813852813852814</v>
      </c>
      <c r="T20" s="25">
        <f t="shared" ref="T20:T44" si="23">(+B20-C20)/C20</f>
        <v>-0.5714285714285714</v>
      </c>
      <c r="U20" s="25">
        <f t="shared" ref="U20:U44" si="24">(+C20-D20)/D20</f>
        <v>1.3333333333333333</v>
      </c>
      <c r="V20" s="25">
        <f t="shared" ref="V20:V44" si="25">(+D20-E20)/E20</f>
        <v>0</v>
      </c>
      <c r="W20" s="25">
        <f t="shared" ref="W20:W44" si="26">(+E20-F20)/F20</f>
        <v>-0.7142857142857143</v>
      </c>
      <c r="X20" s="25">
        <f t="shared" ref="X20:X44" si="27">(+F20-G20)/G20</f>
        <v>-0.95454545454545459</v>
      </c>
    </row>
    <row r="21" spans="1:24" x14ac:dyDescent="0.25">
      <c r="A21" s="5" t="s">
        <v>87</v>
      </c>
      <c r="B21" s="2">
        <v>831</v>
      </c>
      <c r="C21" s="2">
        <v>740</v>
      </c>
      <c r="D21" s="2">
        <v>230</v>
      </c>
      <c r="E21" s="2">
        <v>1022</v>
      </c>
      <c r="F21" s="2">
        <v>377</v>
      </c>
      <c r="G21" s="2">
        <v>2733</v>
      </c>
      <c r="K21" s="25">
        <f t="shared" si="15"/>
        <v>9.1810016240760992E-3</v>
      </c>
      <c r="L21" s="25">
        <f t="shared" si="16"/>
        <v>7.9234212047883164E-3</v>
      </c>
      <c r="M21" s="25">
        <f t="shared" si="17"/>
        <v>2.3039166583191427E-3</v>
      </c>
      <c r="N21" s="25">
        <f t="shared" si="18"/>
        <v>1.0073928043371119E-2</v>
      </c>
      <c r="O21" s="25">
        <f t="shared" si="19"/>
        <v>3.6438851354616717E-3</v>
      </c>
      <c r="P21" s="25">
        <f t="shared" si="20"/>
        <v>2.2757552543050327E-2</v>
      </c>
      <c r="R21" s="25">
        <f t="shared" si="21"/>
        <v>-0.21188012748640178</v>
      </c>
      <c r="S21" s="25">
        <f t="shared" si="22"/>
        <v>0.48284643684593676</v>
      </c>
      <c r="T21" s="25">
        <f t="shared" si="23"/>
        <v>0.12297297297297298</v>
      </c>
      <c r="U21" s="25">
        <f t="shared" si="24"/>
        <v>2.2173913043478262</v>
      </c>
      <c r="V21" s="25">
        <f t="shared" si="25"/>
        <v>-0.77495107632093929</v>
      </c>
      <c r="W21" s="25">
        <f t="shared" si="26"/>
        <v>1.7108753315649867</v>
      </c>
      <c r="X21" s="25">
        <f t="shared" si="27"/>
        <v>-0.86205634833516287</v>
      </c>
    </row>
    <row r="22" spans="1:24" x14ac:dyDescent="0.25">
      <c r="A22" s="5" t="s">
        <v>88</v>
      </c>
      <c r="B22" s="2">
        <v>4848</v>
      </c>
      <c r="C22" s="2">
        <v>4753</v>
      </c>
      <c r="D22" s="2">
        <v>4304</v>
      </c>
      <c r="E22" s="2">
        <v>4003</v>
      </c>
      <c r="F22" s="2">
        <v>4153</v>
      </c>
      <c r="G22" s="2">
        <v>4362</v>
      </c>
      <c r="K22" s="25">
        <f t="shared" si="15"/>
        <v>5.3561366875476454E-2</v>
      </c>
      <c r="L22" s="25">
        <f t="shared" si="16"/>
        <v>5.0891920251836309E-2</v>
      </c>
      <c r="M22" s="25">
        <f t="shared" si="17"/>
        <v>4.3113292597415608E-2</v>
      </c>
      <c r="N22" s="25">
        <f t="shared" si="18"/>
        <v>3.9457861015278463E-2</v>
      </c>
      <c r="O22" s="25">
        <f t="shared" si="19"/>
        <v>4.0140729356955764E-2</v>
      </c>
      <c r="P22" s="25">
        <f t="shared" si="20"/>
        <v>3.6322153016021048E-2</v>
      </c>
      <c r="R22" s="25">
        <f t="shared" si="21"/>
        <v>2.1351873752623592E-2</v>
      </c>
      <c r="S22" s="25">
        <f t="shared" si="22"/>
        <v>2.3094054588581041E-2</v>
      </c>
      <c r="T22" s="25">
        <f t="shared" si="23"/>
        <v>1.9987376393856511E-2</v>
      </c>
      <c r="U22" s="25">
        <f t="shared" si="24"/>
        <v>0.10432156133828996</v>
      </c>
      <c r="V22" s="25">
        <f t="shared" si="25"/>
        <v>7.5193604796402705E-2</v>
      </c>
      <c r="W22" s="25">
        <f t="shared" si="26"/>
        <v>-3.6118468576932336E-2</v>
      </c>
      <c r="X22" s="25">
        <f t="shared" si="27"/>
        <v>-4.79138010087116E-2</v>
      </c>
    </row>
    <row r="23" spans="1:24" x14ac:dyDescent="0.25">
      <c r="A23" s="5" t="s">
        <v>89</v>
      </c>
      <c r="B23" s="2">
        <v>749</v>
      </c>
      <c r="C23" s="2">
        <v>804</v>
      </c>
      <c r="D23" s="2">
        <v>946</v>
      </c>
      <c r="E23" s="2">
        <v>647</v>
      </c>
      <c r="F23" s="2">
        <v>722</v>
      </c>
      <c r="G23" s="2">
        <v>689</v>
      </c>
      <c r="K23" s="25">
        <f t="shared" si="15"/>
        <v>8.2750544120734036E-3</v>
      </c>
      <c r="L23" s="25">
        <f t="shared" si="16"/>
        <v>8.6086900657429809E-3</v>
      </c>
      <c r="M23" s="25">
        <f t="shared" si="17"/>
        <v>9.4761093859561246E-3</v>
      </c>
      <c r="N23" s="25">
        <f t="shared" si="18"/>
        <v>6.3775258748151797E-3</v>
      </c>
      <c r="O23" s="25">
        <f t="shared" si="19"/>
        <v>6.9784749809106809E-3</v>
      </c>
      <c r="P23" s="25">
        <f t="shared" si="20"/>
        <v>5.7372680944609133E-3</v>
      </c>
      <c r="R23" s="25">
        <f t="shared" si="21"/>
        <v>1.6839759291933765E-2</v>
      </c>
      <c r="S23" s="25">
        <f t="shared" si="22"/>
        <v>3.7527327422520657E-2</v>
      </c>
      <c r="T23" s="25">
        <f t="shared" si="23"/>
        <v>-6.8407960199004969E-2</v>
      </c>
      <c r="U23" s="25">
        <f t="shared" si="24"/>
        <v>-0.15010570824524314</v>
      </c>
      <c r="V23" s="25">
        <f t="shared" si="25"/>
        <v>0.46213292117465227</v>
      </c>
      <c r="W23" s="25">
        <f t="shared" si="26"/>
        <v>-0.1038781163434903</v>
      </c>
      <c r="X23" s="25">
        <f t="shared" si="27"/>
        <v>4.7895500725689405E-2</v>
      </c>
    </row>
    <row r="24" spans="1:24" x14ac:dyDescent="0.25">
      <c r="A24" s="5" t="s">
        <v>90</v>
      </c>
      <c r="B24" s="2">
        <v>264</v>
      </c>
      <c r="C24" s="2">
        <v>268</v>
      </c>
      <c r="D24" s="2">
        <v>358</v>
      </c>
      <c r="E24" s="2">
        <v>384</v>
      </c>
      <c r="F24" s="2">
        <v>408</v>
      </c>
      <c r="G24" s="2">
        <v>419</v>
      </c>
      <c r="K24" s="25">
        <f t="shared" si="15"/>
        <v>2.9167080971794108E-3</v>
      </c>
      <c r="L24" s="25">
        <f t="shared" si="16"/>
        <v>2.8695633552476606E-3</v>
      </c>
      <c r="M24" s="25">
        <f t="shared" si="17"/>
        <v>3.5860963638184914E-3</v>
      </c>
      <c r="N24" s="25">
        <f t="shared" si="18"/>
        <v>3.7851158206012813E-3</v>
      </c>
      <c r="O24" s="25">
        <f t="shared" si="19"/>
        <v>3.9435149476614376E-3</v>
      </c>
      <c r="P24" s="25">
        <f t="shared" si="20"/>
        <v>3.4889917729740531E-3</v>
      </c>
      <c r="R24" s="25">
        <f t="shared" si="21"/>
        <v>-8.8245362884069409E-2</v>
      </c>
      <c r="S24" s="25">
        <f t="shared" si="22"/>
        <v>-8.3821373443535047E-2</v>
      </c>
      <c r="T24" s="25">
        <f t="shared" si="23"/>
        <v>-1.4925373134328358E-2</v>
      </c>
      <c r="U24" s="25">
        <f t="shared" si="24"/>
        <v>-0.25139664804469275</v>
      </c>
      <c r="V24" s="25">
        <f t="shared" si="25"/>
        <v>-6.7708333333333329E-2</v>
      </c>
      <c r="W24" s="25">
        <f t="shared" si="26"/>
        <v>-5.8823529411764705E-2</v>
      </c>
      <c r="X24" s="25">
        <f t="shared" si="27"/>
        <v>-2.6252983293556086E-2</v>
      </c>
    </row>
    <row r="25" spans="1:24" x14ac:dyDescent="0.25">
      <c r="A25" s="5" t="s">
        <v>91</v>
      </c>
      <c r="B25" s="2">
        <v>136</v>
      </c>
      <c r="C25" s="2">
        <v>541</v>
      </c>
      <c r="D25" s="2">
        <v>0</v>
      </c>
      <c r="E25" s="2">
        <v>0</v>
      </c>
      <c r="F25" s="2">
        <v>0</v>
      </c>
      <c r="G25" s="2">
        <v>0</v>
      </c>
      <c r="K25" s="25">
        <f t="shared" si="15"/>
        <v>1.5025465955166661E-3</v>
      </c>
      <c r="L25" s="25">
        <f t="shared" si="16"/>
        <v>5.7926633402574038E-3</v>
      </c>
      <c r="M25" s="25">
        <f t="shared" si="17"/>
        <v>0</v>
      </c>
      <c r="N25" s="25">
        <f t="shared" si="18"/>
        <v>0</v>
      </c>
      <c r="O25" s="25">
        <f t="shared" si="19"/>
        <v>0</v>
      </c>
      <c r="P25" s="25">
        <f t="shared" si="20"/>
        <v>0</v>
      </c>
      <c r="R25" s="25"/>
      <c r="S25" s="25">
        <f t="shared" si="22"/>
        <v>-0.74861367837338266</v>
      </c>
      <c r="T25" s="25">
        <f t="shared" si="23"/>
        <v>-0.74861367837338266</v>
      </c>
      <c r="U25" s="25"/>
      <c r="V25" s="25"/>
      <c r="W25" s="25"/>
      <c r="X25" s="25"/>
    </row>
    <row r="26" spans="1:24" x14ac:dyDescent="0.25">
      <c r="A26" s="5" t="s">
        <v>92</v>
      </c>
      <c r="B26" s="2">
        <v>0</v>
      </c>
      <c r="C26" s="2">
        <v>0</v>
      </c>
      <c r="D26" s="2">
        <v>17</v>
      </c>
      <c r="E26" s="2">
        <v>9</v>
      </c>
      <c r="F26" s="2">
        <v>55</v>
      </c>
      <c r="G26" s="2">
        <v>0</v>
      </c>
      <c r="K26" s="25">
        <f t="shared" si="15"/>
        <v>0</v>
      </c>
      <c r="L26" s="25">
        <f t="shared" si="16"/>
        <v>0</v>
      </c>
      <c r="M26" s="25">
        <f t="shared" si="17"/>
        <v>1.7028949213663226E-4</v>
      </c>
      <c r="N26" s="25">
        <f t="shared" si="18"/>
        <v>8.8713652045342527E-5</v>
      </c>
      <c r="O26" s="25">
        <f t="shared" si="19"/>
        <v>5.3160127970926241E-4</v>
      </c>
      <c r="P26" s="25">
        <f t="shared" si="20"/>
        <v>0</v>
      </c>
      <c r="R26" s="25"/>
      <c r="S26" s="25">
        <f t="shared" si="22"/>
        <v>-0.31582491582491584</v>
      </c>
      <c r="T26" s="25"/>
      <c r="U26" s="25">
        <f t="shared" si="24"/>
        <v>-1</v>
      </c>
      <c r="V26" s="25">
        <f t="shared" si="25"/>
        <v>0.88888888888888884</v>
      </c>
      <c r="W26" s="25">
        <f t="shared" si="26"/>
        <v>-0.83636363636363631</v>
      </c>
      <c r="X26" s="25"/>
    </row>
    <row r="27" spans="1:24" x14ac:dyDescent="0.25">
      <c r="A27" s="5" t="s">
        <v>29</v>
      </c>
      <c r="B27" s="2">
        <v>2194</v>
      </c>
      <c r="C27" s="2">
        <v>1944</v>
      </c>
      <c r="D27" s="2">
        <v>2200</v>
      </c>
      <c r="E27" s="2">
        <v>1804</v>
      </c>
      <c r="F27" s="2">
        <v>1767</v>
      </c>
      <c r="G27" s="2">
        <v>1489</v>
      </c>
      <c r="K27" s="26">
        <f t="shared" si="15"/>
        <v>2.4239611989437981E-2</v>
      </c>
      <c r="L27" s="26">
        <f t="shared" si="16"/>
        <v>2.0815041651497956E-2</v>
      </c>
      <c r="M27" s="26">
        <f t="shared" si="17"/>
        <v>2.2037463688270059E-2</v>
      </c>
      <c r="N27" s="26">
        <f t="shared" si="18"/>
        <v>1.7782158698866436E-2</v>
      </c>
      <c r="O27" s="26">
        <f t="shared" si="19"/>
        <v>1.7078899295386668E-2</v>
      </c>
      <c r="P27" s="26">
        <f t="shared" si="20"/>
        <v>1.2398827565533092E-2</v>
      </c>
      <c r="Q27" s="30"/>
      <c r="R27" s="26">
        <f t="shared" si="21"/>
        <v>8.0608514301309969E-2</v>
      </c>
      <c r="S27" s="26">
        <f t="shared" si="22"/>
        <v>8.7878262416086469E-2</v>
      </c>
      <c r="T27" s="26">
        <f t="shared" si="23"/>
        <v>0.12860082304526749</v>
      </c>
      <c r="U27" s="26">
        <f t="shared" si="24"/>
        <v>-0.11636363636363636</v>
      </c>
      <c r="V27" s="26">
        <f t="shared" si="25"/>
        <v>0.21951219512195122</v>
      </c>
      <c r="W27" s="26">
        <f t="shared" si="26"/>
        <v>2.0939445387662705E-2</v>
      </c>
      <c r="X27" s="26">
        <f t="shared" si="27"/>
        <v>0.18670248488918736</v>
      </c>
    </row>
    <row r="28" spans="1:24" x14ac:dyDescent="0.25">
      <c r="A28" s="2" t="s">
        <v>30</v>
      </c>
      <c r="B28" s="6">
        <f>SUM(B20:B27)</f>
        <v>9028</v>
      </c>
      <c r="C28" s="6">
        <f t="shared" ref="C28:G28" si="28">SUM(C20:C27)</f>
        <v>9064</v>
      </c>
      <c r="D28" s="6">
        <f t="shared" si="28"/>
        <v>8061</v>
      </c>
      <c r="E28" s="6">
        <f t="shared" si="28"/>
        <v>7875</v>
      </c>
      <c r="F28" s="6">
        <f t="shared" si="28"/>
        <v>7503</v>
      </c>
      <c r="G28" s="6">
        <f t="shared" si="28"/>
        <v>10154</v>
      </c>
      <c r="H28" s="30">
        <v>9501</v>
      </c>
      <c r="I28" s="30">
        <v>6932</v>
      </c>
      <c r="K28" s="25">
        <f t="shared" si="15"/>
        <v>9.9742578414150448E-2</v>
      </c>
      <c r="L28" s="25">
        <f t="shared" si="16"/>
        <v>9.7051202432704459E-2</v>
      </c>
      <c r="M28" s="25">
        <f t="shared" si="17"/>
        <v>8.0747270359611337E-2</v>
      </c>
      <c r="N28" s="25">
        <f t="shared" si="18"/>
        <v>7.7624445539674722E-2</v>
      </c>
      <c r="O28" s="25">
        <f t="shared" si="19"/>
        <v>7.2520080030156295E-2</v>
      </c>
      <c r="P28" s="25">
        <f t="shared" si="20"/>
        <v>8.4551843586583617E-2</v>
      </c>
      <c r="Q28" s="30"/>
      <c r="R28" s="25">
        <f t="shared" si="21"/>
        <v>-2.3233225607619739E-2</v>
      </c>
      <c r="S28" s="25">
        <f t="shared" si="22"/>
        <v>-1.3485133717464421E-2</v>
      </c>
      <c r="T28" s="25">
        <f t="shared" si="23"/>
        <v>-3.9717563989408646E-3</v>
      </c>
      <c r="U28" s="25">
        <f t="shared" si="24"/>
        <v>0.12442624984493239</v>
      </c>
      <c r="V28" s="25">
        <f t="shared" si="25"/>
        <v>2.3619047619047619E-2</v>
      </c>
      <c r="W28" s="25">
        <f t="shared" si="26"/>
        <v>4.9580167932826873E-2</v>
      </c>
      <c r="X28" s="25">
        <f t="shared" si="27"/>
        <v>-0.26107937758518812</v>
      </c>
    </row>
    <row r="29" spans="1:24" x14ac:dyDescent="0.25">
      <c r="A29" s="5" t="s">
        <v>31</v>
      </c>
      <c r="B29" s="2">
        <v>19233</v>
      </c>
      <c r="C29" s="2">
        <v>21061</v>
      </c>
      <c r="D29" s="2">
        <v>28070</v>
      </c>
      <c r="E29" s="2">
        <v>28216</v>
      </c>
      <c r="F29" s="2">
        <v>30770</v>
      </c>
      <c r="G29" s="2">
        <v>28308</v>
      </c>
      <c r="H29" s="2">
        <v>29713</v>
      </c>
      <c r="I29" s="2">
        <v>25151</v>
      </c>
      <c r="K29" s="25">
        <f t="shared" si="15"/>
        <v>0.21248881376155912</v>
      </c>
      <c r="L29" s="25">
        <f t="shared" si="16"/>
        <v>0.22550699188384693</v>
      </c>
      <c r="M29" s="25">
        <f t="shared" si="17"/>
        <v>0.28117800260442755</v>
      </c>
      <c r="N29" s="25">
        <f t="shared" si="18"/>
        <v>0.27812715623459833</v>
      </c>
      <c r="O29" s="25">
        <f t="shared" si="19"/>
        <v>0.29740675230280011</v>
      </c>
      <c r="P29" s="25">
        <f t="shared" si="20"/>
        <v>0.23571928188388902</v>
      </c>
      <c r="Q29" s="30"/>
      <c r="R29" s="25">
        <f t="shared" si="21"/>
        <v>-7.4390999611951406E-2</v>
      </c>
      <c r="S29" s="25">
        <f t="shared" si="22"/>
        <v>-6.7539619547069094E-2</v>
      </c>
      <c r="T29" s="25">
        <f t="shared" si="23"/>
        <v>-8.6795498789231276E-2</v>
      </c>
      <c r="U29" s="25">
        <f t="shared" si="24"/>
        <v>-0.24969718560741005</v>
      </c>
      <c r="V29" s="25">
        <f t="shared" si="25"/>
        <v>-5.1743691522540399E-3</v>
      </c>
      <c r="W29" s="25">
        <f t="shared" si="26"/>
        <v>-8.3002924926876831E-2</v>
      </c>
      <c r="X29" s="25">
        <f t="shared" si="27"/>
        <v>8.6971880740426735E-2</v>
      </c>
    </row>
    <row r="30" spans="1:24" x14ac:dyDescent="0.25">
      <c r="A30" s="5" t="s">
        <v>93</v>
      </c>
      <c r="B30" s="2">
        <v>10152</v>
      </c>
      <c r="C30" s="2">
        <v>10536</v>
      </c>
      <c r="D30" s="2">
        <v>11462</v>
      </c>
      <c r="E30" s="2">
        <v>11878</v>
      </c>
      <c r="F30" s="2">
        <v>12202</v>
      </c>
      <c r="G30" s="2">
        <v>14039</v>
      </c>
      <c r="H30" s="2">
        <v>20848</v>
      </c>
      <c r="I30" s="2">
        <v>21497</v>
      </c>
      <c r="K30" s="25">
        <f t="shared" si="15"/>
        <v>0.11216068410062643</v>
      </c>
      <c r="L30" s="25">
        <f t="shared" si="16"/>
        <v>0.11281238623466175</v>
      </c>
      <c r="M30" s="25">
        <f t="shared" si="17"/>
        <v>0.11481518581588701</v>
      </c>
      <c r="N30" s="25">
        <f t="shared" si="18"/>
        <v>0.11708230655495318</v>
      </c>
      <c r="O30" s="25">
        <f t="shared" si="19"/>
        <v>0.11793816027295309</v>
      </c>
      <c r="P30" s="25">
        <f t="shared" si="20"/>
        <v>0.11690204176797789</v>
      </c>
      <c r="Q30" s="30"/>
      <c r="R30" s="25">
        <f t="shared" si="21"/>
        <v>-6.2776678206707098E-2</v>
      </c>
      <c r="S30" s="25">
        <f t="shared" si="22"/>
        <v>-6.1932138628004139E-2</v>
      </c>
      <c r="T30" s="25">
        <f t="shared" si="23"/>
        <v>-3.644646924829157E-2</v>
      </c>
      <c r="U30" s="25">
        <f t="shared" si="24"/>
        <v>-8.0788693072762166E-2</v>
      </c>
      <c r="V30" s="25">
        <f t="shared" si="25"/>
        <v>-3.5022731099511699E-2</v>
      </c>
      <c r="W30" s="25">
        <f t="shared" si="26"/>
        <v>-2.6553024094410752E-2</v>
      </c>
      <c r="X30" s="25">
        <f t="shared" si="27"/>
        <v>-0.13084977562504452</v>
      </c>
    </row>
    <row r="31" spans="1:24" x14ac:dyDescent="0.25">
      <c r="A31" s="5" t="s">
        <v>94</v>
      </c>
      <c r="B31" s="2">
        <v>144</v>
      </c>
      <c r="C31" s="2">
        <v>205</v>
      </c>
      <c r="D31" s="2">
        <v>243</v>
      </c>
      <c r="E31" s="2">
        <v>273</v>
      </c>
      <c r="F31" s="2">
        <v>306</v>
      </c>
      <c r="G31" s="2">
        <v>427</v>
      </c>
      <c r="H31" s="2">
        <v>2038</v>
      </c>
      <c r="I31" s="2">
        <v>2405</v>
      </c>
      <c r="K31" s="25">
        <f t="shared" si="15"/>
        <v>1.5909316893705876E-3</v>
      </c>
      <c r="L31" s="25">
        <f t="shared" si="16"/>
        <v>2.1950018202454118E-3</v>
      </c>
      <c r="M31" s="25">
        <f t="shared" si="17"/>
        <v>2.43413803465892E-3</v>
      </c>
      <c r="N31" s="25">
        <f t="shared" si="18"/>
        <v>2.6909807787087233E-3</v>
      </c>
      <c r="O31" s="25">
        <f t="shared" si="19"/>
        <v>2.9576362107460782E-3</v>
      </c>
      <c r="P31" s="25">
        <f t="shared" si="20"/>
        <v>3.5556073676847751E-3</v>
      </c>
      <c r="Q31" s="30"/>
      <c r="R31" s="25">
        <f t="shared" si="21"/>
        <v>-0.19538722547686657</v>
      </c>
      <c r="S31" s="25">
        <f t="shared" si="22"/>
        <v>-0.19100903778347836</v>
      </c>
      <c r="T31" s="25">
        <f t="shared" si="23"/>
        <v>-0.29756097560975608</v>
      </c>
      <c r="U31" s="25">
        <f t="shared" si="24"/>
        <v>-0.15637860082304528</v>
      </c>
      <c r="V31" s="25">
        <f t="shared" si="25"/>
        <v>-0.10989010989010989</v>
      </c>
      <c r="W31" s="25">
        <f t="shared" si="26"/>
        <v>-0.10784313725490197</v>
      </c>
      <c r="X31" s="25">
        <f t="shared" si="27"/>
        <v>-0.28337236533957844</v>
      </c>
    </row>
    <row r="32" spans="1:24" x14ac:dyDescent="0.25">
      <c r="A32" s="5" t="s">
        <v>95</v>
      </c>
      <c r="B32" s="2">
        <v>1477</v>
      </c>
      <c r="C32" s="2">
        <v>1534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K32" s="25">
        <f t="shared" si="15"/>
        <v>1.6318097952780265E-2</v>
      </c>
      <c r="L32" s="25">
        <f t="shared" si="16"/>
        <v>1.6425038011007132E-2</v>
      </c>
      <c r="M32" s="25">
        <f t="shared" si="17"/>
        <v>0</v>
      </c>
      <c r="N32" s="25">
        <f t="shared" si="18"/>
        <v>0</v>
      </c>
      <c r="O32" s="25">
        <f t="shared" si="19"/>
        <v>0</v>
      </c>
      <c r="P32" s="25">
        <f t="shared" si="20"/>
        <v>0</v>
      </c>
      <c r="Q32" s="30"/>
      <c r="R32" s="25"/>
      <c r="S32" s="25">
        <f t="shared" si="22"/>
        <v>-3.7157757496740544E-2</v>
      </c>
      <c r="T32" s="25">
        <f t="shared" si="23"/>
        <v>-3.7157757496740544E-2</v>
      </c>
      <c r="U32" s="25"/>
      <c r="V32" s="25"/>
      <c r="W32" s="25"/>
      <c r="X32" s="25"/>
    </row>
    <row r="33" spans="1:24" x14ac:dyDescent="0.25">
      <c r="A33" s="5" t="s">
        <v>96</v>
      </c>
      <c r="B33" s="2">
        <v>1609</v>
      </c>
      <c r="C33" s="2">
        <v>1542</v>
      </c>
      <c r="D33" s="2">
        <v>1751</v>
      </c>
      <c r="E33" s="2">
        <v>1459</v>
      </c>
      <c r="F33" s="2">
        <v>902</v>
      </c>
      <c r="G33" s="2">
        <v>1088</v>
      </c>
      <c r="H33" s="2">
        <v>806</v>
      </c>
      <c r="I33" s="2">
        <v>752</v>
      </c>
      <c r="K33" s="26">
        <f t="shared" si="15"/>
        <v>1.7776452001369968E-2</v>
      </c>
      <c r="L33" s="26">
        <f t="shared" si="16"/>
        <v>1.6510696618626464E-2</v>
      </c>
      <c r="M33" s="26">
        <f t="shared" si="17"/>
        <v>1.7539817690073123E-2</v>
      </c>
      <c r="N33" s="26">
        <f t="shared" si="18"/>
        <v>1.4381468703794973E-2</v>
      </c>
      <c r="O33" s="26">
        <f t="shared" si="19"/>
        <v>8.7182609872319041E-3</v>
      </c>
      <c r="P33" s="26">
        <f t="shared" si="20"/>
        <v>9.0597208806581613E-3</v>
      </c>
      <c r="Q33" s="30"/>
      <c r="R33" s="26">
        <f t="shared" si="21"/>
        <v>8.1397670613528067E-2</v>
      </c>
      <c r="S33" s="26">
        <f t="shared" si="22"/>
        <v>0.11415750537922809</v>
      </c>
      <c r="T33" s="26">
        <f t="shared" si="23"/>
        <v>4.3450064850843059E-2</v>
      </c>
      <c r="U33" s="26">
        <f t="shared" si="24"/>
        <v>-0.11936036550542548</v>
      </c>
      <c r="V33" s="26">
        <f t="shared" si="25"/>
        <v>0.20013708019191226</v>
      </c>
      <c r="W33" s="26">
        <f t="shared" si="26"/>
        <v>0.6175166297117517</v>
      </c>
      <c r="X33" s="26">
        <f t="shared" si="27"/>
        <v>-0.17095588235294118</v>
      </c>
    </row>
    <row r="34" spans="1:24" x14ac:dyDescent="0.25">
      <c r="A34" s="2" t="s">
        <v>97</v>
      </c>
      <c r="B34" s="6">
        <f>SUM(B28:B33)</f>
        <v>41643</v>
      </c>
      <c r="C34" s="6">
        <f t="shared" ref="C34:I34" si="29">SUM(C28:C33)</f>
        <v>43942</v>
      </c>
      <c r="D34" s="6">
        <f t="shared" si="29"/>
        <v>49587</v>
      </c>
      <c r="E34" s="6">
        <f t="shared" si="29"/>
        <v>49701</v>
      </c>
      <c r="F34" s="6">
        <f t="shared" si="29"/>
        <v>51683</v>
      </c>
      <c r="G34" s="6">
        <f t="shared" si="29"/>
        <v>54016</v>
      </c>
      <c r="H34" s="6">
        <f t="shared" si="29"/>
        <v>62906</v>
      </c>
      <c r="I34" s="6">
        <f t="shared" si="29"/>
        <v>56737</v>
      </c>
      <c r="K34" s="25">
        <f t="shared" si="15"/>
        <v>0.46007755791985683</v>
      </c>
      <c r="L34" s="25">
        <f t="shared" si="16"/>
        <v>0.47050131700109216</v>
      </c>
      <c r="M34" s="25">
        <f t="shared" si="17"/>
        <v>0.49671441450465792</v>
      </c>
      <c r="N34" s="25">
        <f t="shared" si="18"/>
        <v>0.48990635781172992</v>
      </c>
      <c r="O34" s="25">
        <f t="shared" si="19"/>
        <v>0.49954088980388744</v>
      </c>
      <c r="P34" s="25">
        <f t="shared" si="20"/>
        <v>0.44978849548679345</v>
      </c>
      <c r="Q34" s="30"/>
      <c r="R34" s="25">
        <f t="shared" si="21"/>
        <v>-5.0699045239239016E-2</v>
      </c>
      <c r="S34" s="25">
        <f t="shared" si="22"/>
        <v>-4.9998615364267002E-2</v>
      </c>
      <c r="T34" s="25">
        <f t="shared" si="23"/>
        <v>-5.231896590960812E-2</v>
      </c>
      <c r="U34" s="25">
        <f t="shared" si="24"/>
        <v>-0.1138403210518886</v>
      </c>
      <c r="V34" s="25">
        <f t="shared" si="25"/>
        <v>-2.2937164242168165E-3</v>
      </c>
      <c r="W34" s="25">
        <f t="shared" si="26"/>
        <v>-3.8349167037517173E-2</v>
      </c>
      <c r="X34" s="25">
        <f t="shared" si="27"/>
        <v>-4.3190906398104266E-2</v>
      </c>
    </row>
    <row r="35" spans="1:24" x14ac:dyDescent="0.25">
      <c r="A35" s="2" t="s">
        <v>98</v>
      </c>
      <c r="B35" s="2">
        <v>40</v>
      </c>
      <c r="C35" s="2">
        <v>4</v>
      </c>
      <c r="D35" s="2">
        <v>0</v>
      </c>
      <c r="E35" s="2">
        <v>0</v>
      </c>
      <c r="F35" s="2">
        <v>3</v>
      </c>
      <c r="G35" s="2">
        <v>6</v>
      </c>
      <c r="H35" s="2">
        <v>0</v>
      </c>
      <c r="I35" s="2">
        <v>23</v>
      </c>
      <c r="K35" s="25">
        <f t="shared" si="15"/>
        <v>4.4192546926960768E-4</v>
      </c>
      <c r="L35" s="25">
        <f t="shared" si="16"/>
        <v>4.2829303809666572E-5</v>
      </c>
      <c r="M35" s="25">
        <f t="shared" si="17"/>
        <v>0</v>
      </c>
      <c r="N35" s="25">
        <f t="shared" si="18"/>
        <v>0</v>
      </c>
      <c r="O35" s="25">
        <f t="shared" si="19"/>
        <v>2.8996433438687043E-5</v>
      </c>
      <c r="P35" s="25">
        <f t="shared" si="20"/>
        <v>4.9961696033041334E-5</v>
      </c>
      <c r="Q35" s="30"/>
      <c r="R35" s="25">
        <f t="shared" si="21"/>
        <v>0.46144255162042197</v>
      </c>
      <c r="S35" s="25">
        <f t="shared" si="22"/>
        <v>2.5</v>
      </c>
      <c r="T35" s="25">
        <f t="shared" si="23"/>
        <v>9</v>
      </c>
      <c r="U35" s="25"/>
      <c r="V35" s="25"/>
      <c r="W35" s="25">
        <f t="shared" si="26"/>
        <v>-1</v>
      </c>
      <c r="X35" s="25">
        <f t="shared" si="27"/>
        <v>-0.5</v>
      </c>
    </row>
    <row r="36" spans="1:24" x14ac:dyDescent="0.25">
      <c r="A36" s="2" t="s">
        <v>99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8320</v>
      </c>
      <c r="K36" s="25">
        <f t="shared" si="15"/>
        <v>0</v>
      </c>
      <c r="L36" s="25">
        <f t="shared" si="16"/>
        <v>0</v>
      </c>
      <c r="M36" s="25">
        <f t="shared" si="17"/>
        <v>0</v>
      </c>
      <c r="N36" s="25">
        <f t="shared" si="18"/>
        <v>0</v>
      </c>
      <c r="O36" s="25">
        <f t="shared" si="19"/>
        <v>0</v>
      </c>
      <c r="P36" s="25">
        <f t="shared" si="20"/>
        <v>0</v>
      </c>
      <c r="Q36" s="30"/>
      <c r="R36" s="25"/>
      <c r="S36" s="25"/>
      <c r="T36" s="25"/>
      <c r="U36" s="25"/>
      <c r="V36" s="25"/>
      <c r="W36" s="25"/>
      <c r="X36" s="25"/>
    </row>
    <row r="37" spans="1:24" x14ac:dyDescent="0.25">
      <c r="A37" s="5" t="s">
        <v>100</v>
      </c>
      <c r="B37" s="2">
        <v>12</v>
      </c>
      <c r="C37" s="2">
        <v>12</v>
      </c>
      <c r="D37" s="2">
        <v>12</v>
      </c>
      <c r="E37" s="2">
        <v>12</v>
      </c>
      <c r="F37" s="2">
        <v>12</v>
      </c>
      <c r="G37" s="2">
        <v>12</v>
      </c>
      <c r="H37" s="2">
        <v>12</v>
      </c>
      <c r="I37" s="2">
        <v>12</v>
      </c>
      <c r="K37" s="25">
        <f t="shared" si="15"/>
        <v>1.3257764078088231E-4</v>
      </c>
      <c r="L37" s="25">
        <f t="shared" si="16"/>
        <v>1.2848791142899973E-4</v>
      </c>
      <c r="M37" s="25">
        <f t="shared" si="17"/>
        <v>1.2020434739056396E-4</v>
      </c>
      <c r="N37" s="25">
        <f t="shared" si="18"/>
        <v>1.1828486939379004E-4</v>
      </c>
      <c r="O37" s="25">
        <f t="shared" si="19"/>
        <v>1.1598573375474817E-4</v>
      </c>
      <c r="P37" s="25">
        <f t="shared" si="20"/>
        <v>9.9923392066082669E-5</v>
      </c>
      <c r="Q37" s="30"/>
      <c r="R37" s="25">
        <f t="shared" si="21"/>
        <v>1.1505115232739206E-16</v>
      </c>
      <c r="S37" s="25">
        <f t="shared" si="22"/>
        <v>0</v>
      </c>
      <c r="T37" s="25">
        <f t="shared" si="23"/>
        <v>0</v>
      </c>
      <c r="U37" s="25">
        <f t="shared" si="24"/>
        <v>0</v>
      </c>
      <c r="V37" s="25">
        <f t="shared" si="25"/>
        <v>0</v>
      </c>
      <c r="W37" s="25">
        <f t="shared" si="26"/>
        <v>0</v>
      </c>
      <c r="X37" s="25">
        <f t="shared" si="27"/>
        <v>0</v>
      </c>
    </row>
    <row r="38" spans="1:24" x14ac:dyDescent="0.25">
      <c r="A38" s="5" t="s">
        <v>101</v>
      </c>
      <c r="B38" s="2">
        <v>51834</v>
      </c>
      <c r="C38" s="2">
        <v>53379</v>
      </c>
      <c r="D38" s="2">
        <v>55096</v>
      </c>
      <c r="E38" s="2">
        <v>56828</v>
      </c>
      <c r="F38" s="2">
        <v>58723</v>
      </c>
      <c r="G38" s="2">
        <v>58634</v>
      </c>
      <c r="H38" s="2">
        <v>58593</v>
      </c>
      <c r="I38" s="2">
        <v>58375</v>
      </c>
      <c r="K38" s="25">
        <f t="shared" si="15"/>
        <v>0.57266911935302112</v>
      </c>
      <c r="L38" s="25">
        <f t="shared" si="16"/>
        <v>0.57154635201404802</v>
      </c>
      <c r="M38" s="25">
        <f t="shared" si="17"/>
        <v>0.55189822698587598</v>
      </c>
      <c r="N38" s="25">
        <f t="shared" si="18"/>
        <v>0.56015771315919172</v>
      </c>
      <c r="O38" s="25">
        <f t="shared" si="19"/>
        <v>0.56758585360667302</v>
      </c>
      <c r="P38" s="25">
        <f t="shared" si="20"/>
        <v>0.48824234753355761</v>
      </c>
      <c r="Q38" s="30"/>
      <c r="R38" s="25">
        <f t="shared" si="21"/>
        <v>-2.4352265709732968E-2</v>
      </c>
      <c r="S38" s="25">
        <f t="shared" si="22"/>
        <v>-2.4267589205706836E-2</v>
      </c>
      <c r="T38" s="25">
        <f t="shared" si="23"/>
        <v>-2.8943966728488733E-2</v>
      </c>
      <c r="U38" s="25">
        <f t="shared" si="24"/>
        <v>-3.1163786844780019E-2</v>
      </c>
      <c r="V38" s="25">
        <f t="shared" si="25"/>
        <v>-3.0477933413106215E-2</v>
      </c>
      <c r="W38" s="25">
        <f t="shared" si="26"/>
        <v>-3.2270149685813057E-2</v>
      </c>
      <c r="X38" s="25">
        <f t="shared" si="27"/>
        <v>1.5178906436538527E-3</v>
      </c>
    </row>
    <row r="39" spans="1:24" x14ac:dyDescent="0.25">
      <c r="A39" s="5" t="s">
        <v>102</v>
      </c>
      <c r="B39" s="2">
        <v>489</v>
      </c>
      <c r="C39" s="2">
        <v>-1682</v>
      </c>
      <c r="D39" s="2">
        <v>-2694</v>
      </c>
      <c r="E39" s="2">
        <v>-3060</v>
      </c>
      <c r="F39" s="2">
        <v>-4853</v>
      </c>
      <c r="G39" s="2">
        <v>8495</v>
      </c>
      <c r="H39" s="2">
        <v>588</v>
      </c>
      <c r="I39" s="2">
        <v>0</v>
      </c>
      <c r="K39" s="25">
        <f t="shared" si="15"/>
        <v>5.4025388618209541E-3</v>
      </c>
      <c r="L39" s="25">
        <f t="shared" si="16"/>
        <v>-1.8009722251964795E-2</v>
      </c>
      <c r="M39" s="25">
        <f t="shared" si="17"/>
        <v>-2.6985875989181608E-2</v>
      </c>
      <c r="N39" s="25">
        <f t="shared" si="18"/>
        <v>-3.0162641695416461E-2</v>
      </c>
      <c r="O39" s="25">
        <f t="shared" si="19"/>
        <v>-4.6906563825982739E-2</v>
      </c>
      <c r="P39" s="25">
        <f t="shared" si="20"/>
        <v>7.0737434633447685E-2</v>
      </c>
      <c r="Q39" s="30"/>
      <c r="R39" s="25">
        <f t="shared" si="21"/>
        <v>-0.43502517645517697</v>
      </c>
      <c r="S39" s="25">
        <f t="shared" si="22"/>
        <v>-0.7453444344093002</v>
      </c>
      <c r="T39" s="25">
        <f t="shared" si="23"/>
        <v>-1.2907253269916765</v>
      </c>
      <c r="U39" s="25">
        <f t="shared" si="24"/>
        <v>-0.37564959168522644</v>
      </c>
      <c r="V39" s="25">
        <f t="shared" si="25"/>
        <v>-0.11960784313725491</v>
      </c>
      <c r="W39" s="25">
        <f t="shared" si="26"/>
        <v>-0.36946218833711109</v>
      </c>
      <c r="X39" s="25">
        <f t="shared" si="27"/>
        <v>-1.5712772218952324</v>
      </c>
    </row>
    <row r="40" spans="1:24" x14ac:dyDescent="0.25">
      <c r="A40" s="5" t="s">
        <v>103</v>
      </c>
      <c r="B40" s="2">
        <v>-2810</v>
      </c>
      <c r="C40" s="2">
        <v>-1824</v>
      </c>
      <c r="D40" s="2">
        <v>-1967</v>
      </c>
      <c r="E40" s="2">
        <v>-1886</v>
      </c>
      <c r="F40" s="2">
        <v>-1943</v>
      </c>
      <c r="G40" s="2">
        <v>-1054</v>
      </c>
      <c r="H40" s="2">
        <v>-1628</v>
      </c>
      <c r="I40" s="2">
        <v>-671</v>
      </c>
      <c r="K40" s="25">
        <f t="shared" si="15"/>
        <v>-3.104526421618994E-2</v>
      </c>
      <c r="L40" s="25">
        <f t="shared" si="16"/>
        <v>-1.9530162537207959E-2</v>
      </c>
      <c r="M40" s="25">
        <f t="shared" si="17"/>
        <v>-1.9703495943103274E-2</v>
      </c>
      <c r="N40" s="25">
        <f t="shared" si="18"/>
        <v>-1.8590438639724E-2</v>
      </c>
      <c r="O40" s="25">
        <f t="shared" si="19"/>
        <v>-1.8780023390456306E-2</v>
      </c>
      <c r="P40" s="25">
        <f t="shared" si="20"/>
        <v>-8.776604603137594E-3</v>
      </c>
      <c r="Q40" s="30"/>
      <c r="R40" s="25">
        <f t="shared" si="21"/>
        <v>0.21667095873235825</v>
      </c>
      <c r="S40" s="25">
        <f t="shared" si="22"/>
        <v>0.26498722067421782</v>
      </c>
      <c r="T40" s="25">
        <f t="shared" si="23"/>
        <v>0.54057017543859653</v>
      </c>
      <c r="U40" s="25">
        <f t="shared" si="24"/>
        <v>-7.2699542450432128E-2</v>
      </c>
      <c r="V40" s="25">
        <f t="shared" si="25"/>
        <v>4.2948038176033931E-2</v>
      </c>
      <c r="W40" s="25">
        <f t="shared" si="26"/>
        <v>-2.9336078229541946E-2</v>
      </c>
      <c r="X40" s="25">
        <f t="shared" si="27"/>
        <v>0.84345351043643269</v>
      </c>
    </row>
    <row r="41" spans="1:24" x14ac:dyDescent="0.25">
      <c r="A41" s="5" t="s">
        <v>104</v>
      </c>
      <c r="B41" s="2">
        <v>-847</v>
      </c>
      <c r="C41" s="2">
        <v>-587</v>
      </c>
      <c r="D41" s="2">
        <v>-344</v>
      </c>
      <c r="E41" s="2">
        <v>-271</v>
      </c>
      <c r="F41" s="2">
        <v>-282</v>
      </c>
      <c r="G41" s="2">
        <v>-224</v>
      </c>
      <c r="H41" s="2">
        <v>-207</v>
      </c>
      <c r="I41" s="2">
        <v>-31</v>
      </c>
      <c r="K41" s="25">
        <f t="shared" si="15"/>
        <v>-9.357771811783943E-3</v>
      </c>
      <c r="L41" s="25">
        <f t="shared" si="16"/>
        <v>-6.28520033406857E-3</v>
      </c>
      <c r="M41" s="25">
        <f t="shared" si="17"/>
        <v>-3.4458579585295002E-3</v>
      </c>
      <c r="N41" s="25">
        <f t="shared" si="18"/>
        <v>-2.6712666338097584E-3</v>
      </c>
      <c r="O41" s="25">
        <f t="shared" si="19"/>
        <v>-2.7256647432365817E-3</v>
      </c>
      <c r="P41" s="25">
        <f t="shared" si="20"/>
        <v>-1.8652366519002097E-3</v>
      </c>
      <c r="Q41" s="30"/>
      <c r="R41" s="25">
        <f t="shared" si="21"/>
        <v>0.30474931763943724</v>
      </c>
      <c r="S41" s="25">
        <f t="shared" si="22"/>
        <v>0.32772393502322256</v>
      </c>
      <c r="T41" s="25">
        <f t="shared" si="23"/>
        <v>0.44293015332197616</v>
      </c>
      <c r="U41" s="25">
        <f t="shared" si="24"/>
        <v>0.70639534883720934</v>
      </c>
      <c r="V41" s="25">
        <f t="shared" si="25"/>
        <v>0.26937269372693728</v>
      </c>
      <c r="W41" s="25">
        <f t="shared" si="26"/>
        <v>-3.9007092198581561E-2</v>
      </c>
      <c r="X41" s="25">
        <f t="shared" si="27"/>
        <v>0.25892857142857145</v>
      </c>
    </row>
    <row r="42" spans="1:24" x14ac:dyDescent="0.25">
      <c r="A42" s="5" t="s">
        <v>105</v>
      </c>
      <c r="B42" s="2">
        <v>152</v>
      </c>
      <c r="C42" s="2">
        <v>150</v>
      </c>
      <c r="D42" s="2">
        <v>140</v>
      </c>
      <c r="E42" s="2">
        <v>126</v>
      </c>
      <c r="F42" s="2">
        <v>118</v>
      </c>
      <c r="G42" s="2">
        <v>207</v>
      </c>
      <c r="H42" s="2">
        <v>216</v>
      </c>
      <c r="I42" s="2">
        <v>208</v>
      </c>
      <c r="K42" s="26">
        <f t="shared" si="15"/>
        <v>1.6793167832245093E-3</v>
      </c>
      <c r="L42" s="26">
        <f t="shared" si="16"/>
        <v>1.6060988928624964E-3</v>
      </c>
      <c r="M42" s="26">
        <f t="shared" si="17"/>
        <v>1.4023840528899129E-3</v>
      </c>
      <c r="N42" s="26">
        <f t="shared" si="18"/>
        <v>1.2419911286347955E-3</v>
      </c>
      <c r="O42" s="26">
        <f t="shared" si="19"/>
        <v>1.1405263819216902E-3</v>
      </c>
      <c r="P42" s="26">
        <f t="shared" si="20"/>
        <v>1.7236785131399261E-3</v>
      </c>
      <c r="Q42" s="30"/>
      <c r="R42" s="26">
        <f t="shared" si="21"/>
        <v>-5.9898710260960809E-2</v>
      </c>
      <c r="S42" s="26">
        <f t="shared" si="22"/>
        <v>-3.3256412955749735E-2</v>
      </c>
      <c r="T42" s="26">
        <f t="shared" si="23"/>
        <v>1.3333333333333334E-2</v>
      </c>
      <c r="U42" s="26">
        <f t="shared" si="24"/>
        <v>7.1428571428571425E-2</v>
      </c>
      <c r="V42" s="26">
        <f t="shared" si="25"/>
        <v>0.1111111111111111</v>
      </c>
      <c r="W42" s="26">
        <f t="shared" si="26"/>
        <v>6.7796610169491525E-2</v>
      </c>
      <c r="X42" s="26">
        <f t="shared" si="27"/>
        <v>-0.42995169082125606</v>
      </c>
    </row>
    <row r="43" spans="1:24" x14ac:dyDescent="0.25">
      <c r="A43" s="2" t="s">
        <v>106</v>
      </c>
      <c r="B43" s="10">
        <f>SUM(B37:B42)</f>
        <v>48830</v>
      </c>
      <c r="C43" s="10">
        <f t="shared" ref="C43:G43" si="30">SUM(C37:C42)</f>
        <v>49448</v>
      </c>
      <c r="D43" s="10">
        <f t="shared" si="30"/>
        <v>50243</v>
      </c>
      <c r="E43" s="10">
        <f t="shared" si="30"/>
        <v>51749</v>
      </c>
      <c r="F43" s="10">
        <f t="shared" si="30"/>
        <v>51775</v>
      </c>
      <c r="G43" s="10">
        <f t="shared" si="30"/>
        <v>66070</v>
      </c>
      <c r="H43" s="10">
        <f t="shared" ref="H43:I43" si="31">SUM(H37:H42)</f>
        <v>57574</v>
      </c>
      <c r="I43" s="10">
        <f t="shared" si="31"/>
        <v>57893</v>
      </c>
      <c r="K43" s="25">
        <f t="shared" si="15"/>
        <v>0.53948051661087359</v>
      </c>
      <c r="L43" s="25">
        <f t="shared" si="16"/>
        <v>0.52945585369509818</v>
      </c>
      <c r="M43" s="25">
        <f t="shared" si="17"/>
        <v>0.50328558549534208</v>
      </c>
      <c r="N43" s="25">
        <f t="shared" si="18"/>
        <v>0.51009364218827014</v>
      </c>
      <c r="O43" s="25">
        <f t="shared" si="19"/>
        <v>0.50043011376267388</v>
      </c>
      <c r="P43" s="25">
        <f t="shared" si="20"/>
        <v>0.55016154281717355</v>
      </c>
      <c r="Q43" s="30"/>
      <c r="R43" s="25">
        <f t="shared" si="21"/>
        <v>-5.8681739699202047E-2</v>
      </c>
      <c r="S43" s="25">
        <f t="shared" si="22"/>
        <v>-5.4857339349412525E-2</v>
      </c>
      <c r="T43" s="25">
        <f t="shared" si="23"/>
        <v>-1.2497977673515612E-2</v>
      </c>
      <c r="U43" s="25">
        <f t="shared" si="24"/>
        <v>-1.5823099735286509E-2</v>
      </c>
      <c r="V43" s="25">
        <f t="shared" si="25"/>
        <v>-2.9102011633075034E-2</v>
      </c>
      <c r="W43" s="25">
        <f t="shared" si="26"/>
        <v>-5.0217286335103818E-4</v>
      </c>
      <c r="X43" s="25">
        <f t="shared" si="27"/>
        <v>-0.21636143484183443</v>
      </c>
    </row>
    <row r="44" spans="1:24" ht="15.75" thickBot="1" x14ac:dyDescent="0.3">
      <c r="A44" s="2" t="s">
        <v>107</v>
      </c>
      <c r="B44" s="9">
        <f>+B43+B35+B34</f>
        <v>90513</v>
      </c>
      <c r="C44" s="9">
        <f t="shared" ref="C44:G44" si="32">+C43+C35+C34</f>
        <v>93394</v>
      </c>
      <c r="D44" s="9">
        <f t="shared" si="32"/>
        <v>99830</v>
      </c>
      <c r="E44" s="9">
        <f t="shared" si="32"/>
        <v>101450</v>
      </c>
      <c r="F44" s="9">
        <f t="shared" si="32"/>
        <v>103461</v>
      </c>
      <c r="G44" s="9">
        <f t="shared" si="32"/>
        <v>120092</v>
      </c>
      <c r="H44" s="9">
        <f t="shared" ref="H44" si="33">+H43+H35+H34</f>
        <v>120480</v>
      </c>
      <c r="I44" s="9">
        <f>+I43+I35+I34+I36</f>
        <v>122973</v>
      </c>
      <c r="K44" s="28">
        <f t="shared" si="15"/>
        <v>1</v>
      </c>
      <c r="L44" s="28">
        <f t="shared" si="16"/>
        <v>1</v>
      </c>
      <c r="M44" s="28">
        <f t="shared" si="17"/>
        <v>1</v>
      </c>
      <c r="N44" s="28">
        <f t="shared" si="18"/>
        <v>1</v>
      </c>
      <c r="O44" s="28">
        <f t="shared" si="19"/>
        <v>1</v>
      </c>
      <c r="P44" s="28">
        <f t="shared" si="20"/>
        <v>1</v>
      </c>
      <c r="Q44" s="30"/>
      <c r="R44" s="28">
        <f t="shared" si="21"/>
        <v>-5.4983532564241197E-2</v>
      </c>
      <c r="S44" s="28">
        <f t="shared" si="22"/>
        <v>-5.3841726418039616E-2</v>
      </c>
      <c r="T44" s="28">
        <f t="shared" si="23"/>
        <v>-3.084780606891235E-2</v>
      </c>
      <c r="U44" s="28">
        <f t="shared" si="24"/>
        <v>-6.4469598317139137E-2</v>
      </c>
      <c r="V44" s="28">
        <f t="shared" si="25"/>
        <v>-1.5968457368161656E-2</v>
      </c>
      <c r="W44" s="28">
        <f t="shared" si="26"/>
        <v>-1.9437275881733215E-2</v>
      </c>
      <c r="X44" s="28">
        <f t="shared" si="27"/>
        <v>-0.13848549445425173</v>
      </c>
    </row>
    <row r="45" spans="1:24" ht="15.75" thickTop="1" x14ac:dyDescent="0.25">
      <c r="B45" s="2">
        <f>+B44-B18</f>
        <v>0</v>
      </c>
      <c r="C45" s="2">
        <f t="shared" ref="C45:G45" si="34">+C44-C18</f>
        <v>0</v>
      </c>
      <c r="D45" s="2">
        <f t="shared" si="34"/>
        <v>0</v>
      </c>
      <c r="E45" s="2">
        <f t="shared" si="34"/>
        <v>0</v>
      </c>
      <c r="F45" s="2">
        <f t="shared" si="34"/>
        <v>0</v>
      </c>
      <c r="G45" s="2">
        <f t="shared" si="34"/>
        <v>0</v>
      </c>
      <c r="H45" s="2">
        <f t="shared" ref="H45:I45" si="35">+H44-H18</f>
        <v>0</v>
      </c>
      <c r="I45" s="2">
        <f t="shared" si="35"/>
        <v>0</v>
      </c>
      <c r="Q45" s="30"/>
    </row>
    <row r="46" spans="1:24" x14ac:dyDescent="0.25">
      <c r="A46" s="2" t="s">
        <v>108</v>
      </c>
      <c r="B46" s="2">
        <v>1243</v>
      </c>
      <c r="C46" s="2">
        <v>1235</v>
      </c>
      <c r="D46" s="2">
        <v>1228</v>
      </c>
      <c r="E46" s="2">
        <v>1224</v>
      </c>
      <c r="F46" s="2">
        <v>1224</v>
      </c>
      <c r="G46" s="2">
        <v>1221</v>
      </c>
      <c r="H46" s="2">
        <v>1218.9470879999999</v>
      </c>
      <c r="I46" s="2">
        <v>1216.4757400000001</v>
      </c>
      <c r="Q46" s="30"/>
    </row>
    <row r="47" spans="1:24" x14ac:dyDescent="0.25">
      <c r="A47" s="2" t="s">
        <v>109</v>
      </c>
      <c r="B47" s="2">
        <v>-18</v>
      </c>
      <c r="C47" s="2">
        <v>-11</v>
      </c>
      <c r="D47" s="2">
        <v>-5</v>
      </c>
      <c r="E47" s="2">
        <v>-3</v>
      </c>
      <c r="F47" s="2">
        <v>-4</v>
      </c>
      <c r="G47" s="2">
        <v>-2</v>
      </c>
      <c r="H47" s="2">
        <f>+H48-H46</f>
        <v>-2.4713479999998071</v>
      </c>
      <c r="I47" s="2">
        <f>+I48-I46</f>
        <v>-2.4969880000001012</v>
      </c>
      <c r="Q47" s="30"/>
    </row>
    <row r="48" spans="1:24" ht="15.75" thickBot="1" x14ac:dyDescent="0.3">
      <c r="A48" s="2" t="s">
        <v>110</v>
      </c>
      <c r="B48" s="11">
        <f>+B46+B47</f>
        <v>1225</v>
      </c>
      <c r="C48" s="11">
        <f t="shared" ref="C48:G48" si="36">+C46+C47</f>
        <v>1224</v>
      </c>
      <c r="D48" s="11">
        <f t="shared" si="36"/>
        <v>1223</v>
      </c>
      <c r="E48" s="11">
        <f t="shared" si="36"/>
        <v>1221</v>
      </c>
      <c r="F48" s="11">
        <f t="shared" si="36"/>
        <v>1220</v>
      </c>
      <c r="G48" s="11">
        <f t="shared" si="36"/>
        <v>1219</v>
      </c>
      <c r="H48" s="11">
        <v>1216.4757400000001</v>
      </c>
      <c r="I48" s="11">
        <v>1213.978752</v>
      </c>
    </row>
    <row r="49" spans="1:24" ht="15.75" thickTop="1" x14ac:dyDescent="0.25"/>
    <row r="52" spans="1:24" s="53" customFormat="1" x14ac:dyDescent="0.25">
      <c r="A52" s="66" t="str">
        <f>+A1</f>
        <v>Kraft Heinz Company</v>
      </c>
      <c r="B52" s="66" t="str">
        <f>+B1</f>
        <v>As reported</v>
      </c>
      <c r="C52" s="66"/>
      <c r="D52" s="66"/>
      <c r="E52" s="66"/>
      <c r="F52" s="66"/>
      <c r="G52" s="66"/>
      <c r="H52" s="66"/>
      <c r="I52" s="66"/>
      <c r="K52" s="66" t="str">
        <f>+B52</f>
        <v>As reported</v>
      </c>
      <c r="L52" s="66"/>
      <c r="M52" s="66"/>
      <c r="N52" s="66"/>
      <c r="O52" s="66"/>
      <c r="P52" s="66"/>
      <c r="R52" s="66" t="str">
        <f>+B52</f>
        <v>As reported</v>
      </c>
      <c r="S52" s="66"/>
      <c r="T52" s="66"/>
      <c r="U52" s="66"/>
      <c r="V52" s="66"/>
      <c r="W52" s="66"/>
      <c r="X52" s="66"/>
    </row>
    <row r="53" spans="1:24" s="53" customFormat="1" x14ac:dyDescent="0.25">
      <c r="A53" s="66" t="s">
        <v>112</v>
      </c>
      <c r="B53" s="66"/>
      <c r="C53" s="66"/>
      <c r="D53" s="66"/>
      <c r="E53" s="66"/>
      <c r="F53" s="66"/>
      <c r="G53" s="66"/>
      <c r="H53" s="66"/>
      <c r="I53" s="66"/>
      <c r="K53" s="66" t="s">
        <v>113</v>
      </c>
      <c r="L53" s="66"/>
      <c r="M53" s="66"/>
      <c r="N53" s="66"/>
      <c r="O53" s="66"/>
      <c r="P53" s="66"/>
      <c r="R53" s="66" t="s">
        <v>63</v>
      </c>
      <c r="S53" s="66"/>
      <c r="T53" s="66"/>
      <c r="U53" s="66"/>
      <c r="V53" s="66"/>
      <c r="W53" s="66"/>
      <c r="X53" s="66"/>
    </row>
    <row r="54" spans="1:24" s="53" customFormat="1" x14ac:dyDescent="0.25">
      <c r="A54" s="66" t="str">
        <f>+A3</f>
        <v>in millions except per share data</v>
      </c>
      <c r="B54" s="66"/>
      <c r="C54" s="66"/>
      <c r="D54" s="66"/>
      <c r="E54" s="66"/>
      <c r="F54" s="66" t="s">
        <v>65</v>
      </c>
      <c r="G54" s="72" t="s">
        <v>66</v>
      </c>
      <c r="H54" s="67"/>
      <c r="I54" s="72" t="s">
        <v>114</v>
      </c>
      <c r="K54" s="66"/>
      <c r="L54" s="66"/>
      <c r="M54" s="66"/>
      <c r="N54" s="66"/>
      <c r="O54" s="66"/>
      <c r="P54" s="72" t="s">
        <v>66</v>
      </c>
      <c r="R54" s="66" t="s">
        <v>67</v>
      </c>
      <c r="S54" s="66" t="s">
        <v>68</v>
      </c>
      <c r="T54" s="66" t="s">
        <v>69</v>
      </c>
      <c r="U54" s="66" t="s">
        <v>70</v>
      </c>
      <c r="V54" s="66" t="s">
        <v>71</v>
      </c>
      <c r="W54" s="66" t="s">
        <v>72</v>
      </c>
      <c r="X54" s="66" t="s">
        <v>73</v>
      </c>
    </row>
    <row r="55" spans="1:24" s="53" customFormat="1" ht="15.75" thickBot="1" x14ac:dyDescent="0.3">
      <c r="A55" s="67" t="str">
        <f>+A4</f>
        <v>Fiscal year ended 12/31</v>
      </c>
      <c r="B55" s="68">
        <v>2022</v>
      </c>
      <c r="C55" s="69">
        <v>2021</v>
      </c>
      <c r="D55" s="69">
        <v>2020</v>
      </c>
      <c r="E55" s="69">
        <v>2019</v>
      </c>
      <c r="F55" s="69">
        <v>2018</v>
      </c>
      <c r="G55" s="69">
        <v>2017</v>
      </c>
      <c r="H55" s="69">
        <v>2016</v>
      </c>
      <c r="I55" s="69">
        <v>2015</v>
      </c>
      <c r="K55" s="69">
        <v>2022</v>
      </c>
      <c r="L55" s="69">
        <v>2021</v>
      </c>
      <c r="M55" s="69">
        <v>2020</v>
      </c>
      <c r="N55" s="69">
        <v>2019</v>
      </c>
      <c r="O55" s="69">
        <v>2018</v>
      </c>
      <c r="P55" s="69">
        <v>2017</v>
      </c>
      <c r="R55" s="70" t="s">
        <v>75</v>
      </c>
      <c r="S55" s="70" t="s">
        <v>76</v>
      </c>
      <c r="T55" s="71">
        <v>2022</v>
      </c>
      <c r="U55" s="71">
        <v>2021</v>
      </c>
      <c r="V55" s="71">
        <v>2020</v>
      </c>
      <c r="W55" s="71">
        <v>2019</v>
      </c>
      <c r="X55" s="71">
        <v>2018</v>
      </c>
    </row>
    <row r="56" spans="1:24" x14ac:dyDescent="0.25">
      <c r="A56" s="2" t="s">
        <v>115</v>
      </c>
      <c r="B56" s="8">
        <v>26485</v>
      </c>
      <c r="C56" s="8">
        <v>26042</v>
      </c>
      <c r="D56" s="8">
        <v>26185</v>
      </c>
      <c r="E56" s="8">
        <v>24977</v>
      </c>
      <c r="F56" s="8">
        <v>26268</v>
      </c>
      <c r="G56" s="8">
        <v>26076</v>
      </c>
      <c r="H56" s="8">
        <v>26487</v>
      </c>
      <c r="I56" s="8">
        <v>18338</v>
      </c>
      <c r="K56" s="25">
        <f t="shared" ref="K56:K70" si="37">+B56/B$56</f>
        <v>1</v>
      </c>
      <c r="L56" s="25">
        <f t="shared" ref="L56:L70" si="38">+C56/C$56</f>
        <v>1</v>
      </c>
      <c r="M56" s="25">
        <f t="shared" ref="M56:M70" si="39">+D56/D$56</f>
        <v>1</v>
      </c>
      <c r="N56" s="25">
        <f t="shared" ref="N56:N70" si="40">+E56/E$56</f>
        <v>1</v>
      </c>
      <c r="O56" s="25">
        <f t="shared" ref="O56:O70" si="41">+F56/F$56</f>
        <v>1</v>
      </c>
      <c r="P56" s="25">
        <f t="shared" ref="P56:P70" si="42">+G56/G$56</f>
        <v>1</v>
      </c>
      <c r="R56" s="25">
        <f t="shared" ref="R56:R70" si="43">RATE(5,0,-G56,B56)</f>
        <v>3.1174860707707231E-3</v>
      </c>
      <c r="S56" s="25">
        <f t="shared" ref="S56:S127" si="44">AVERAGE(T56:X56)</f>
        <v>3.626035362061633E-3</v>
      </c>
      <c r="T56" s="25">
        <f t="shared" ref="T56:T70" si="45">(+B56-C56)/C56</f>
        <v>1.7010982259427078E-2</v>
      </c>
      <c r="U56" s="25">
        <f t="shared" ref="U56:U70" si="46">(+C56-D56)/D56</f>
        <v>-5.4611418751193434E-3</v>
      </c>
      <c r="V56" s="25">
        <f t="shared" ref="V56:V70" si="47">(+D56-E56)/E56</f>
        <v>4.836449533570885E-2</v>
      </c>
      <c r="W56" s="25">
        <f t="shared" ref="W56:W70" si="48">(+E56-F56)/F56</f>
        <v>-4.914725140855794E-2</v>
      </c>
      <c r="X56" s="25">
        <f t="shared" ref="X56:X70" si="49">(+F56-G56)/G56</f>
        <v>7.3630924988495172E-3</v>
      </c>
    </row>
    <row r="57" spans="1:24" x14ac:dyDescent="0.25">
      <c r="A57" s="5" t="s">
        <v>116</v>
      </c>
      <c r="B57" s="2">
        <v>18363</v>
      </c>
      <c r="C57" s="2">
        <v>17360</v>
      </c>
      <c r="D57" s="2">
        <v>17008</v>
      </c>
      <c r="E57" s="2">
        <v>16830</v>
      </c>
      <c r="F57" s="2">
        <v>17347</v>
      </c>
      <c r="G57" s="2">
        <v>17043</v>
      </c>
      <c r="H57" s="2">
        <v>16901</v>
      </c>
      <c r="I57" s="2">
        <v>12577</v>
      </c>
      <c r="K57" s="26">
        <f t="shared" si="37"/>
        <v>0.69333585048140456</v>
      </c>
      <c r="L57" s="26">
        <f t="shared" si="38"/>
        <v>0.66661546732201826</v>
      </c>
      <c r="M57" s="26">
        <f t="shared" si="39"/>
        <v>0.64953217490929926</v>
      </c>
      <c r="N57" s="26">
        <f t="shared" si="40"/>
        <v>0.67381991432117549</v>
      </c>
      <c r="O57" s="26">
        <f t="shared" si="41"/>
        <v>0.66038525963149075</v>
      </c>
      <c r="P57" s="26">
        <f t="shared" si="42"/>
        <v>0.65358950759318912</v>
      </c>
      <c r="Q57" s="30"/>
      <c r="R57" s="26">
        <f t="shared" si="43"/>
        <v>1.5031495091144084E-2</v>
      </c>
      <c r="S57" s="26">
        <f t="shared" si="44"/>
        <v>1.5416560689107845E-2</v>
      </c>
      <c r="T57" s="26">
        <f t="shared" si="45"/>
        <v>5.7776497695852531E-2</v>
      </c>
      <c r="U57" s="26">
        <f t="shared" si="46"/>
        <v>2.0696142991533398E-2</v>
      </c>
      <c r="V57" s="26">
        <f t="shared" si="47"/>
        <v>1.057635175282234E-2</v>
      </c>
      <c r="W57" s="26">
        <f t="shared" si="48"/>
        <v>-2.9803424223208624E-2</v>
      </c>
      <c r="X57" s="26">
        <f t="shared" si="49"/>
        <v>1.7837235228539576E-2</v>
      </c>
    </row>
    <row r="58" spans="1:24" x14ac:dyDescent="0.25">
      <c r="A58" s="2" t="s">
        <v>117</v>
      </c>
      <c r="B58" s="6">
        <f>+B56-B57</f>
        <v>8122</v>
      </c>
      <c r="C58" s="6">
        <f t="shared" ref="C58:I58" si="50">+C56-C57</f>
        <v>8682</v>
      </c>
      <c r="D58" s="6">
        <f t="shared" si="50"/>
        <v>9177</v>
      </c>
      <c r="E58" s="6">
        <f t="shared" si="50"/>
        <v>8147</v>
      </c>
      <c r="F58" s="6">
        <f t="shared" si="50"/>
        <v>8921</v>
      </c>
      <c r="G58" s="6">
        <f t="shared" si="50"/>
        <v>9033</v>
      </c>
      <c r="H58" s="6">
        <f t="shared" si="50"/>
        <v>9586</v>
      </c>
      <c r="I58" s="6">
        <f t="shared" si="50"/>
        <v>5761</v>
      </c>
      <c r="K58" s="25">
        <f t="shared" si="37"/>
        <v>0.30666414951859544</v>
      </c>
      <c r="L58" s="25">
        <f t="shared" si="38"/>
        <v>0.33338453267798174</v>
      </c>
      <c r="M58" s="25">
        <f t="shared" si="39"/>
        <v>0.35046782509070079</v>
      </c>
      <c r="N58" s="25">
        <f t="shared" si="40"/>
        <v>0.32618008567882451</v>
      </c>
      <c r="O58" s="25">
        <f t="shared" si="41"/>
        <v>0.33961474036850919</v>
      </c>
      <c r="P58" s="25">
        <f t="shared" si="42"/>
        <v>0.34641049240681088</v>
      </c>
      <c r="Q58" s="30"/>
      <c r="R58" s="25">
        <f t="shared" si="43"/>
        <v>-2.1037186930892088E-2</v>
      </c>
      <c r="S58" s="25">
        <f t="shared" si="44"/>
        <v>-1.8234822504439984E-2</v>
      </c>
      <c r="T58" s="25">
        <f t="shared" si="45"/>
        <v>-6.4501266989172995E-2</v>
      </c>
      <c r="U58" s="25">
        <f t="shared" si="46"/>
        <v>-5.393919581562602E-2</v>
      </c>
      <c r="V58" s="25">
        <f t="shared" si="47"/>
        <v>0.12642690560942679</v>
      </c>
      <c r="W58" s="25">
        <f t="shared" si="48"/>
        <v>-8.6761573814594775E-2</v>
      </c>
      <c r="X58" s="25">
        <f t="shared" si="49"/>
        <v>-1.2398981512232924E-2</v>
      </c>
    </row>
    <row r="59" spans="1:24" x14ac:dyDescent="0.25">
      <c r="A59" s="5" t="s">
        <v>118</v>
      </c>
      <c r="B59" s="2">
        <v>3575</v>
      </c>
      <c r="C59" s="2">
        <v>3588</v>
      </c>
      <c r="D59" s="2">
        <v>3650</v>
      </c>
      <c r="E59" s="2">
        <v>3178</v>
      </c>
      <c r="F59" s="2">
        <v>3190</v>
      </c>
      <c r="G59" s="2">
        <v>2927</v>
      </c>
      <c r="H59" s="2">
        <v>3444</v>
      </c>
      <c r="I59" s="2">
        <v>3122</v>
      </c>
      <c r="K59" s="25">
        <f t="shared" si="37"/>
        <v>0.13498206531999246</v>
      </c>
      <c r="L59" s="25">
        <f t="shared" si="38"/>
        <v>0.13777743644881346</v>
      </c>
      <c r="M59" s="25">
        <f t="shared" si="39"/>
        <v>0.13939278212717204</v>
      </c>
      <c r="N59" s="25">
        <f t="shared" si="40"/>
        <v>0.12723705809344596</v>
      </c>
      <c r="O59" s="25">
        <f t="shared" si="41"/>
        <v>0.12144053601340034</v>
      </c>
      <c r="P59" s="25">
        <f t="shared" si="42"/>
        <v>0.11224881116735695</v>
      </c>
      <c r="Q59" s="30"/>
      <c r="R59" s="25">
        <f t="shared" si="43"/>
        <v>4.080810314999915E-2</v>
      </c>
      <c r="S59" s="25">
        <f t="shared" si="44"/>
        <v>4.2800585816641215E-2</v>
      </c>
      <c r="T59" s="25">
        <f t="shared" si="45"/>
        <v>-3.6231884057971015E-3</v>
      </c>
      <c r="U59" s="25">
        <f t="shared" si="46"/>
        <v>-1.6986301369863014E-2</v>
      </c>
      <c r="V59" s="25">
        <f t="shared" si="47"/>
        <v>0.1485210824417873</v>
      </c>
      <c r="W59" s="25">
        <f t="shared" si="48"/>
        <v>-3.761755485893417E-3</v>
      </c>
      <c r="X59" s="25">
        <f t="shared" si="49"/>
        <v>8.9853091902972332E-2</v>
      </c>
    </row>
    <row r="60" spans="1:24" x14ac:dyDescent="0.25">
      <c r="A60" s="5" t="s">
        <v>119</v>
      </c>
      <c r="B60" s="2">
        <v>444</v>
      </c>
      <c r="C60" s="2">
        <v>318</v>
      </c>
      <c r="D60" s="2">
        <v>2343</v>
      </c>
      <c r="E60" s="2">
        <v>1197</v>
      </c>
      <c r="F60" s="2">
        <v>7008</v>
      </c>
      <c r="G60" s="2">
        <v>0</v>
      </c>
      <c r="H60" s="2">
        <v>0</v>
      </c>
      <c r="I60" s="2">
        <v>0</v>
      </c>
      <c r="K60" s="25">
        <f t="shared" si="37"/>
        <v>1.6764206154427034E-2</v>
      </c>
      <c r="L60" s="25">
        <f t="shared" si="38"/>
        <v>1.2211043698640657E-2</v>
      </c>
      <c r="M60" s="25">
        <f t="shared" si="39"/>
        <v>8.9478709184647703E-2</v>
      </c>
      <c r="N60" s="25">
        <f t="shared" si="40"/>
        <v>4.7924090162949913E-2</v>
      </c>
      <c r="O60" s="25">
        <f t="shared" si="41"/>
        <v>0.26678848789401555</v>
      </c>
      <c r="P60" s="25">
        <f t="shared" si="42"/>
        <v>0</v>
      </c>
      <c r="Q60" s="30"/>
      <c r="R60" s="25"/>
      <c r="S60" s="25">
        <f t="shared" si="44"/>
        <v>-8.4962968794439958E-2</v>
      </c>
      <c r="T60" s="25">
        <f t="shared" si="45"/>
        <v>0.39622641509433965</v>
      </c>
      <c r="U60" s="25">
        <f t="shared" si="46"/>
        <v>-0.86427656850192058</v>
      </c>
      <c r="V60" s="25">
        <f t="shared" si="47"/>
        <v>0.95739348370927313</v>
      </c>
      <c r="W60" s="25">
        <f t="shared" si="48"/>
        <v>-0.82919520547945202</v>
      </c>
      <c r="X60" s="25"/>
    </row>
    <row r="61" spans="1:24" x14ac:dyDescent="0.25">
      <c r="A61" s="5" t="s">
        <v>120</v>
      </c>
      <c r="B61" s="2">
        <v>469</v>
      </c>
      <c r="C61" s="2">
        <v>1316</v>
      </c>
      <c r="D61" s="2">
        <v>1056</v>
      </c>
      <c r="E61" s="2">
        <v>702</v>
      </c>
      <c r="F61" s="2">
        <v>8928</v>
      </c>
      <c r="G61" s="2">
        <v>49</v>
      </c>
      <c r="H61" s="2">
        <v>0</v>
      </c>
      <c r="I61" s="2">
        <v>0</v>
      </c>
      <c r="K61" s="26">
        <f t="shared" si="37"/>
        <v>1.7708136681140269E-2</v>
      </c>
      <c r="L61" s="26">
        <f t="shared" si="38"/>
        <v>5.0533753167959453E-2</v>
      </c>
      <c r="M61" s="26">
        <f t="shared" si="39"/>
        <v>4.0328432308573609E-2</v>
      </c>
      <c r="N61" s="26">
        <f t="shared" si="40"/>
        <v>2.8105857388797693E-2</v>
      </c>
      <c r="O61" s="26">
        <f t="shared" si="41"/>
        <v>0.33988122430333484</v>
      </c>
      <c r="P61" s="26">
        <f t="shared" si="42"/>
        <v>1.8791225648105538E-3</v>
      </c>
      <c r="Q61" s="30"/>
      <c r="R61" s="26">
        <f t="shared" si="43"/>
        <v>0.57106933729090092</v>
      </c>
      <c r="S61" s="26">
        <f t="shared" si="44"/>
        <v>36.077915853824031</v>
      </c>
      <c r="T61" s="26">
        <f t="shared" si="45"/>
        <v>-0.6436170212765957</v>
      </c>
      <c r="U61" s="26">
        <f t="shared" si="46"/>
        <v>0.24621212121212122</v>
      </c>
      <c r="V61" s="26">
        <f t="shared" si="47"/>
        <v>0.50427350427350426</v>
      </c>
      <c r="W61" s="26">
        <f t="shared" si="48"/>
        <v>-0.9213709677419355</v>
      </c>
      <c r="X61" s="26">
        <f t="shared" si="49"/>
        <v>181.20408163265307</v>
      </c>
    </row>
    <row r="62" spans="1:24" x14ac:dyDescent="0.25">
      <c r="A62" s="12" t="s">
        <v>121</v>
      </c>
      <c r="B62" s="10">
        <f>SUM(B59:B61)</f>
        <v>4488</v>
      </c>
      <c r="C62" s="10">
        <f t="shared" ref="C62:G62" si="51">SUM(C59:C61)</f>
        <v>5222</v>
      </c>
      <c r="D62" s="10">
        <f t="shared" si="51"/>
        <v>7049</v>
      </c>
      <c r="E62" s="10">
        <f t="shared" si="51"/>
        <v>5077</v>
      </c>
      <c r="F62" s="10">
        <f t="shared" si="51"/>
        <v>19126</v>
      </c>
      <c r="G62" s="10">
        <f t="shared" si="51"/>
        <v>2976</v>
      </c>
      <c r="H62" s="10">
        <f t="shared" ref="H62:I62" si="52">SUM(H59:H61)</f>
        <v>3444</v>
      </c>
      <c r="I62" s="10">
        <f t="shared" si="52"/>
        <v>3122</v>
      </c>
      <c r="K62" s="26">
        <f t="shared" si="37"/>
        <v>0.16945440815555976</v>
      </c>
      <c r="L62" s="26">
        <f t="shared" si="38"/>
        <v>0.20052223331541355</v>
      </c>
      <c r="M62" s="26">
        <f t="shared" si="39"/>
        <v>0.26919992362039336</v>
      </c>
      <c r="N62" s="26">
        <f t="shared" si="40"/>
        <v>0.20326700564519357</v>
      </c>
      <c r="O62" s="26">
        <f t="shared" si="41"/>
        <v>0.72811024821075077</v>
      </c>
      <c r="P62" s="26">
        <f t="shared" si="42"/>
        <v>0.11412793373216751</v>
      </c>
      <c r="Q62" s="30"/>
      <c r="R62" s="26">
        <f t="shared" si="43"/>
        <v>8.5635370196636043E-2</v>
      </c>
      <c r="S62" s="26">
        <f t="shared" si="44"/>
        <v>0.93617419376710242</v>
      </c>
      <c r="T62" s="26">
        <f t="shared" si="45"/>
        <v>-0.14055917273075449</v>
      </c>
      <c r="U62" s="26">
        <f t="shared" si="46"/>
        <v>-0.25918570009930486</v>
      </c>
      <c r="V62" s="26">
        <f t="shared" si="47"/>
        <v>0.3884183572976167</v>
      </c>
      <c r="W62" s="26">
        <f t="shared" si="48"/>
        <v>-0.73454982746000208</v>
      </c>
      <c r="X62" s="26">
        <f t="shared" si="49"/>
        <v>5.426747311827957</v>
      </c>
    </row>
    <row r="63" spans="1:24" x14ac:dyDescent="0.25">
      <c r="A63" s="2" t="s">
        <v>122</v>
      </c>
      <c r="B63" s="2">
        <f>+B58-B62</f>
        <v>3634</v>
      </c>
      <c r="C63" s="2">
        <f t="shared" ref="C63:G63" si="53">+C58-C62</f>
        <v>3460</v>
      </c>
      <c r="D63" s="2">
        <f t="shared" si="53"/>
        <v>2128</v>
      </c>
      <c r="E63" s="2">
        <f t="shared" si="53"/>
        <v>3070</v>
      </c>
      <c r="F63" s="2">
        <f t="shared" si="53"/>
        <v>-10205</v>
      </c>
      <c r="G63" s="2">
        <f t="shared" si="53"/>
        <v>6057</v>
      </c>
      <c r="H63" s="2">
        <f t="shared" ref="H63:I63" si="54">+H58-H62</f>
        <v>6142</v>
      </c>
      <c r="I63" s="2">
        <f t="shared" si="54"/>
        <v>2639</v>
      </c>
      <c r="K63" s="25">
        <f t="shared" si="37"/>
        <v>0.13720974136303568</v>
      </c>
      <c r="L63" s="25">
        <f t="shared" si="38"/>
        <v>0.13286229936256816</v>
      </c>
      <c r="M63" s="25">
        <f t="shared" si="39"/>
        <v>8.1267901470307422E-2</v>
      </c>
      <c r="N63" s="25">
        <f t="shared" si="40"/>
        <v>0.12291308003363094</v>
      </c>
      <c r="O63" s="25">
        <f t="shared" si="41"/>
        <v>-0.38849550784224152</v>
      </c>
      <c r="P63" s="25">
        <f t="shared" si="42"/>
        <v>0.23228255867464334</v>
      </c>
      <c r="Q63" s="30"/>
      <c r="R63" s="25">
        <f t="shared" si="43"/>
        <v>-9.7129486369166726E-2</v>
      </c>
      <c r="S63" s="25">
        <f t="shared" si="44"/>
        <v>-0.72325438425943411</v>
      </c>
      <c r="T63" s="25">
        <f t="shared" si="45"/>
        <v>5.0289017341040465E-2</v>
      </c>
      <c r="U63" s="25">
        <f t="shared" si="46"/>
        <v>0.62593984962406013</v>
      </c>
      <c r="V63" s="25">
        <f t="shared" si="47"/>
        <v>-0.30684039087947884</v>
      </c>
      <c r="W63" s="25">
        <f t="shared" si="48"/>
        <v>-1.3008329250367467</v>
      </c>
      <c r="X63" s="25">
        <f t="shared" si="49"/>
        <v>-2.6848274723460457</v>
      </c>
    </row>
    <row r="64" spans="1:24" x14ac:dyDescent="0.25">
      <c r="A64" s="5" t="s">
        <v>123</v>
      </c>
      <c r="B64" s="2">
        <v>921</v>
      </c>
      <c r="C64" s="2">
        <v>2047</v>
      </c>
      <c r="D64" s="2">
        <v>1394</v>
      </c>
      <c r="E64" s="2">
        <v>1361</v>
      </c>
      <c r="F64" s="2">
        <v>1284</v>
      </c>
      <c r="G64" s="2">
        <v>1234</v>
      </c>
      <c r="H64" s="2">
        <v>1134</v>
      </c>
      <c r="I64" s="2">
        <v>1321</v>
      </c>
      <c r="K64" s="25">
        <f t="shared" si="37"/>
        <v>3.4774400604115539E-2</v>
      </c>
      <c r="L64" s="25">
        <f t="shared" si="38"/>
        <v>7.860379387143844E-2</v>
      </c>
      <c r="M64" s="25">
        <f t="shared" si="39"/>
        <v>5.3236585831582965E-2</v>
      </c>
      <c r="N64" s="25">
        <f t="shared" si="40"/>
        <v>5.4490130920446814E-2</v>
      </c>
      <c r="O64" s="25">
        <f t="shared" si="41"/>
        <v>4.8880767473732295E-2</v>
      </c>
      <c r="P64" s="25">
        <f t="shared" si="42"/>
        <v>4.7323209081147413E-2</v>
      </c>
      <c r="Q64" s="30"/>
      <c r="R64" s="25">
        <f t="shared" si="43"/>
        <v>-5.6832354866180976E-2</v>
      </c>
      <c r="S64" s="25">
        <f t="shared" si="44"/>
        <v>8.6194480407803427E-3</v>
      </c>
      <c r="T64" s="25">
        <f t="shared" si="45"/>
        <v>-0.55007327796775773</v>
      </c>
      <c r="U64" s="25">
        <f t="shared" si="46"/>
        <v>0.4684361549497848</v>
      </c>
      <c r="V64" s="25">
        <f t="shared" si="47"/>
        <v>2.4246877296105803E-2</v>
      </c>
      <c r="W64" s="25">
        <f t="shared" si="48"/>
        <v>5.9968847352024922E-2</v>
      </c>
      <c r="X64" s="25">
        <f t="shared" si="49"/>
        <v>4.0518638573743923E-2</v>
      </c>
    </row>
    <row r="65" spans="1:24" x14ac:dyDescent="0.25">
      <c r="A65" s="5" t="s">
        <v>124</v>
      </c>
      <c r="B65" s="2">
        <v>-253</v>
      </c>
      <c r="C65" s="2">
        <v>-295</v>
      </c>
      <c r="D65" s="2">
        <v>-296</v>
      </c>
      <c r="E65" s="2">
        <v>-952</v>
      </c>
      <c r="F65" s="2">
        <v>-168</v>
      </c>
      <c r="G65" s="2">
        <v>-627</v>
      </c>
      <c r="H65" s="2">
        <v>-15</v>
      </c>
      <c r="I65" s="2">
        <v>305</v>
      </c>
      <c r="K65" s="26">
        <f t="shared" si="37"/>
        <v>-9.5525769303379266E-3</v>
      </c>
      <c r="L65" s="26">
        <f t="shared" si="38"/>
        <v>-1.1327855003455956E-2</v>
      </c>
      <c r="M65" s="26">
        <f t="shared" si="39"/>
        <v>-1.1304181783463815E-2</v>
      </c>
      <c r="N65" s="26">
        <f t="shared" si="40"/>
        <v>-3.8115065860591747E-2</v>
      </c>
      <c r="O65" s="26">
        <f t="shared" si="41"/>
        <v>-6.395614435815441E-3</v>
      </c>
      <c r="P65" s="26">
        <f t="shared" si="42"/>
        <v>-2.4045098941555453E-2</v>
      </c>
      <c r="Q65" s="30"/>
      <c r="R65" s="26">
        <f t="shared" si="43"/>
        <v>-0.16599127110650957</v>
      </c>
      <c r="S65" s="26">
        <f t="shared" si="44"/>
        <v>0.61995647208246263</v>
      </c>
      <c r="T65" s="26">
        <f t="shared" si="45"/>
        <v>-0.14237288135593221</v>
      </c>
      <c r="U65" s="26">
        <f t="shared" si="46"/>
        <v>-3.3783783783783786E-3</v>
      </c>
      <c r="V65" s="26">
        <f t="shared" si="47"/>
        <v>-0.68907563025210083</v>
      </c>
      <c r="W65" s="26">
        <f t="shared" si="48"/>
        <v>4.666666666666667</v>
      </c>
      <c r="X65" s="26">
        <f t="shared" si="49"/>
        <v>-0.73205741626794263</v>
      </c>
    </row>
    <row r="66" spans="1:24" x14ac:dyDescent="0.25">
      <c r="A66" s="2" t="s">
        <v>125</v>
      </c>
      <c r="B66" s="6">
        <f>+B63-B64-B65</f>
        <v>2966</v>
      </c>
      <c r="C66" s="6">
        <f t="shared" ref="C66:I66" si="55">+C63-C64-C65</f>
        <v>1708</v>
      </c>
      <c r="D66" s="6">
        <f t="shared" si="55"/>
        <v>1030</v>
      </c>
      <c r="E66" s="6">
        <f t="shared" si="55"/>
        <v>2661</v>
      </c>
      <c r="F66" s="6">
        <f t="shared" si="55"/>
        <v>-11321</v>
      </c>
      <c r="G66" s="6">
        <f t="shared" si="55"/>
        <v>5450</v>
      </c>
      <c r="H66" s="6">
        <f t="shared" si="55"/>
        <v>5023</v>
      </c>
      <c r="I66" s="6">
        <f t="shared" si="55"/>
        <v>1013</v>
      </c>
      <c r="K66" s="25">
        <f t="shared" si="37"/>
        <v>0.11198791768925807</v>
      </c>
      <c r="L66" s="25">
        <f t="shared" si="38"/>
        <v>6.5586360494585674E-2</v>
      </c>
      <c r="M66" s="25">
        <f t="shared" si="39"/>
        <v>3.9335497422188274E-2</v>
      </c>
      <c r="N66" s="25">
        <f t="shared" si="40"/>
        <v>0.10653801497377588</v>
      </c>
      <c r="O66" s="25">
        <f t="shared" si="41"/>
        <v>-0.43098066088015835</v>
      </c>
      <c r="P66" s="25">
        <f t="shared" si="42"/>
        <v>0.2090044485350514</v>
      </c>
      <c r="Q66" s="30"/>
      <c r="R66" s="25">
        <f t="shared" si="43"/>
        <v>-0.11456858041064177</v>
      </c>
      <c r="S66" s="25">
        <f t="shared" si="44"/>
        <v>-0.7060877399039478</v>
      </c>
      <c r="T66" s="25">
        <f t="shared" si="45"/>
        <v>0.7365339578454333</v>
      </c>
      <c r="U66" s="25">
        <f t="shared" si="46"/>
        <v>0.65825242718446597</v>
      </c>
      <c r="V66" s="25">
        <f t="shared" si="47"/>
        <v>-0.61292747087561072</v>
      </c>
      <c r="W66" s="25">
        <f t="shared" si="48"/>
        <v>-1.2350499072520096</v>
      </c>
      <c r="X66" s="25">
        <f t="shared" si="49"/>
        <v>-3.0772477064220185</v>
      </c>
    </row>
    <row r="67" spans="1:24" x14ac:dyDescent="0.25">
      <c r="A67" s="5" t="s">
        <v>126</v>
      </c>
      <c r="B67" s="2">
        <v>598</v>
      </c>
      <c r="C67" s="2">
        <v>684</v>
      </c>
      <c r="D67" s="2">
        <v>669</v>
      </c>
      <c r="E67" s="2">
        <v>728</v>
      </c>
      <c r="F67" s="2">
        <v>-1067</v>
      </c>
      <c r="G67" s="2">
        <v>-5482</v>
      </c>
      <c r="H67" s="2">
        <v>1381</v>
      </c>
      <c r="I67" s="2">
        <v>366</v>
      </c>
      <c r="K67" s="26">
        <f t="shared" si="37"/>
        <v>2.2578818198980555E-2</v>
      </c>
      <c r="L67" s="26">
        <f t="shared" si="38"/>
        <v>2.6265263804623303E-2</v>
      </c>
      <c r="M67" s="26">
        <f t="shared" si="39"/>
        <v>2.5548978422761121E-2</v>
      </c>
      <c r="N67" s="26">
        <f t="shared" si="40"/>
        <v>2.9146815069864274E-2</v>
      </c>
      <c r="O67" s="26">
        <f t="shared" si="41"/>
        <v>-4.0619765494137351E-2</v>
      </c>
      <c r="P67" s="26">
        <f t="shared" si="42"/>
        <v>-0.21023163061819297</v>
      </c>
      <c r="Q67" s="30"/>
      <c r="R67" s="26">
        <f>RATE(5,0,G67,B67)</f>
        <v>-0.35797427408867821</v>
      </c>
      <c r="S67" s="26">
        <f t="shared" si="44"/>
        <v>-0.53440064342280214</v>
      </c>
      <c r="T67" s="26">
        <f t="shared" si="45"/>
        <v>-0.12573099415204678</v>
      </c>
      <c r="U67" s="26">
        <f t="shared" si="46"/>
        <v>2.2421524663677129E-2</v>
      </c>
      <c r="V67" s="26">
        <f t="shared" si="47"/>
        <v>-8.1043956043956047E-2</v>
      </c>
      <c r="W67" s="26">
        <f t="shared" si="48"/>
        <v>-1.6822867853795689</v>
      </c>
      <c r="X67" s="26">
        <f t="shared" si="49"/>
        <v>-0.80536300620211598</v>
      </c>
    </row>
    <row r="68" spans="1:24" x14ac:dyDescent="0.25">
      <c r="A68" s="2" t="s">
        <v>127</v>
      </c>
      <c r="B68" s="6">
        <f>+B66-B67</f>
        <v>2368</v>
      </c>
      <c r="C68" s="6">
        <f t="shared" ref="C68:G68" si="56">+C66-C67</f>
        <v>1024</v>
      </c>
      <c r="D68" s="6">
        <f t="shared" si="56"/>
        <v>361</v>
      </c>
      <c r="E68" s="6">
        <f t="shared" si="56"/>
        <v>1933</v>
      </c>
      <c r="F68" s="6">
        <f t="shared" si="56"/>
        <v>-10254</v>
      </c>
      <c r="G68" s="6">
        <f t="shared" si="56"/>
        <v>10932</v>
      </c>
      <c r="H68" s="6">
        <f t="shared" ref="H68:I68" si="57">+H66-H67</f>
        <v>3642</v>
      </c>
      <c r="I68" s="6">
        <f t="shared" si="57"/>
        <v>647</v>
      </c>
      <c r="K68" s="25">
        <f t="shared" si="37"/>
        <v>8.9409099490277519E-2</v>
      </c>
      <c r="L68" s="25">
        <f t="shared" si="38"/>
        <v>3.9321096689962372E-2</v>
      </c>
      <c r="M68" s="25">
        <f t="shared" si="39"/>
        <v>1.3786518999427153E-2</v>
      </c>
      <c r="N68" s="25">
        <f t="shared" si="40"/>
        <v>7.7391199903911592E-2</v>
      </c>
      <c r="O68" s="25">
        <f t="shared" si="41"/>
        <v>-0.39036089538602103</v>
      </c>
      <c r="P68" s="25">
        <f t="shared" si="42"/>
        <v>0.41923607915324435</v>
      </c>
      <c r="Q68" s="30"/>
      <c r="R68" s="25">
        <f t="shared" si="43"/>
        <v>-0.26356161826246205</v>
      </c>
      <c r="S68" s="25">
        <f t="shared" si="44"/>
        <v>-0.15813412150269723</v>
      </c>
      <c r="T68" s="25">
        <f t="shared" si="45"/>
        <v>1.3125</v>
      </c>
      <c r="U68" s="25">
        <f t="shared" si="46"/>
        <v>1.8365650969529086</v>
      </c>
      <c r="V68" s="25">
        <f t="shared" si="47"/>
        <v>-0.81324366270046555</v>
      </c>
      <c r="W68" s="25">
        <f t="shared" si="48"/>
        <v>-1.1885118002730641</v>
      </c>
      <c r="X68" s="25">
        <f t="shared" si="49"/>
        <v>-1.9379802414928651</v>
      </c>
    </row>
    <row r="69" spans="1:24" x14ac:dyDescent="0.25">
      <c r="A69" s="5" t="s">
        <v>105</v>
      </c>
      <c r="B69" s="2">
        <v>5</v>
      </c>
      <c r="C69" s="2">
        <v>12</v>
      </c>
      <c r="D69" s="2">
        <v>5</v>
      </c>
      <c r="E69" s="2">
        <v>-2</v>
      </c>
      <c r="F69" s="2">
        <v>-62</v>
      </c>
      <c r="G69" s="2">
        <v>-9</v>
      </c>
      <c r="H69" s="2">
        <v>10</v>
      </c>
      <c r="I69" s="2">
        <v>13</v>
      </c>
      <c r="K69" s="25">
        <f t="shared" si="37"/>
        <v>1.8878610534264677E-4</v>
      </c>
      <c r="L69" s="25">
        <f t="shared" si="38"/>
        <v>4.6079410183549652E-4</v>
      </c>
      <c r="M69" s="25">
        <f t="shared" si="39"/>
        <v>1.9094901661256445E-4</v>
      </c>
      <c r="N69" s="25">
        <f t="shared" si="40"/>
        <v>-8.0073667774352406E-5</v>
      </c>
      <c r="O69" s="25">
        <f t="shared" si="41"/>
        <v>-2.3602862798842699E-3</v>
      </c>
      <c r="P69" s="25">
        <f t="shared" si="42"/>
        <v>-3.4514496088357109E-4</v>
      </c>
      <c r="Q69" s="30"/>
      <c r="R69" s="25">
        <f>RATE(5,0,G69,B69)</f>
        <v>-0.11091046386779865</v>
      </c>
      <c r="S69" s="25">
        <f t="shared" si="44"/>
        <v>0.44756272401433694</v>
      </c>
      <c r="T69" s="25">
        <f t="shared" si="45"/>
        <v>-0.58333333333333337</v>
      </c>
      <c r="U69" s="25">
        <f t="shared" si="46"/>
        <v>1.4</v>
      </c>
      <c r="V69" s="25">
        <f t="shared" si="47"/>
        <v>-3.5</v>
      </c>
      <c r="W69" s="25">
        <f t="shared" si="48"/>
        <v>-0.967741935483871</v>
      </c>
      <c r="X69" s="25">
        <f t="shared" si="49"/>
        <v>5.8888888888888893</v>
      </c>
    </row>
    <row r="70" spans="1:24" ht="15.75" thickBot="1" x14ac:dyDescent="0.3">
      <c r="A70" s="2" t="s">
        <v>128</v>
      </c>
      <c r="B70" s="9">
        <f>+B68-B69</f>
        <v>2363</v>
      </c>
      <c r="C70" s="9">
        <f t="shared" ref="C70:G70" si="58">+C68-C69</f>
        <v>1012</v>
      </c>
      <c r="D70" s="9">
        <f t="shared" si="58"/>
        <v>356</v>
      </c>
      <c r="E70" s="9">
        <f t="shared" si="58"/>
        <v>1935</v>
      </c>
      <c r="F70" s="9">
        <f t="shared" si="58"/>
        <v>-10192</v>
      </c>
      <c r="G70" s="9">
        <f t="shared" si="58"/>
        <v>10941</v>
      </c>
      <c r="H70" s="11">
        <f t="shared" ref="H70:I70" si="59">+H68-H69</f>
        <v>3632</v>
      </c>
      <c r="I70" s="11">
        <f t="shared" si="59"/>
        <v>634</v>
      </c>
      <c r="K70" s="28">
        <f t="shared" si="37"/>
        <v>8.9220313384934871E-2</v>
      </c>
      <c r="L70" s="28">
        <f t="shared" si="38"/>
        <v>3.8860302588126873E-2</v>
      </c>
      <c r="M70" s="28">
        <f t="shared" si="39"/>
        <v>1.3595569982814588E-2</v>
      </c>
      <c r="N70" s="28">
        <f t="shared" si="40"/>
        <v>7.7471273571685956E-2</v>
      </c>
      <c r="O70" s="28">
        <f t="shared" si="41"/>
        <v>-0.38800060910613676</v>
      </c>
      <c r="P70" s="28">
        <f t="shared" si="42"/>
        <v>0.41958122411412796</v>
      </c>
      <c r="Q70" s="30"/>
      <c r="R70" s="28">
        <f t="shared" si="43"/>
        <v>-0.26399402380581244</v>
      </c>
      <c r="S70" s="28">
        <f t="shared" si="44"/>
        <v>-0.15194810002519135</v>
      </c>
      <c r="T70" s="28">
        <f t="shared" si="45"/>
        <v>1.3349802371541502</v>
      </c>
      <c r="U70" s="28">
        <f t="shared" si="46"/>
        <v>1.8426966292134832</v>
      </c>
      <c r="V70" s="28">
        <f t="shared" si="47"/>
        <v>-0.81602067183462534</v>
      </c>
      <c r="W70" s="28">
        <f t="shared" si="48"/>
        <v>-1.1898547880690737</v>
      </c>
      <c r="X70" s="28">
        <f t="shared" si="49"/>
        <v>-1.9315419065898913</v>
      </c>
    </row>
    <row r="71" spans="1:24" ht="15.75" thickTop="1" x14ac:dyDescent="0.25">
      <c r="A71" s="2" t="s">
        <v>129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180</v>
      </c>
      <c r="I71" s="2">
        <v>900</v>
      </c>
      <c r="K71" s="25"/>
      <c r="L71" s="25"/>
      <c r="M71" s="25"/>
      <c r="N71" s="25"/>
      <c r="O71" s="25"/>
      <c r="P71" s="25"/>
      <c r="Q71" s="30"/>
      <c r="R71" s="25"/>
      <c r="S71" s="25"/>
      <c r="T71" s="25"/>
      <c r="U71" s="25"/>
      <c r="V71" s="25"/>
      <c r="W71" s="25"/>
      <c r="X71" s="25"/>
    </row>
    <row r="72" spans="1:24" ht="15.75" thickBot="1" x14ac:dyDescent="0.3">
      <c r="A72" s="2" t="s">
        <v>130</v>
      </c>
      <c r="B72" s="9">
        <f>+B70-B71</f>
        <v>2363</v>
      </c>
      <c r="C72" s="9">
        <f t="shared" ref="C72:G72" si="60">+C70-C71</f>
        <v>1012</v>
      </c>
      <c r="D72" s="9">
        <f t="shared" si="60"/>
        <v>356</v>
      </c>
      <c r="E72" s="9">
        <f t="shared" si="60"/>
        <v>1935</v>
      </c>
      <c r="F72" s="9">
        <f t="shared" si="60"/>
        <v>-10192</v>
      </c>
      <c r="G72" s="9">
        <f t="shared" si="60"/>
        <v>10941</v>
      </c>
      <c r="H72" s="9">
        <f>+H70-H71</f>
        <v>3452</v>
      </c>
      <c r="I72" s="9">
        <f>+I70-I71</f>
        <v>-266</v>
      </c>
      <c r="K72" s="25"/>
      <c r="L72" s="25"/>
      <c r="M72" s="25"/>
      <c r="N72" s="25"/>
      <c r="O72" s="25"/>
      <c r="P72" s="25"/>
      <c r="R72" s="25"/>
      <c r="S72" s="25"/>
      <c r="T72" s="25"/>
      <c r="U72" s="25"/>
      <c r="V72" s="25"/>
      <c r="W72" s="25"/>
      <c r="X72" s="25"/>
    </row>
    <row r="73" spans="1:24" ht="15.75" thickTop="1" x14ac:dyDescent="0.25">
      <c r="K73" s="25"/>
      <c r="L73" s="25"/>
      <c r="M73" s="25"/>
      <c r="N73" s="25"/>
      <c r="O73" s="25"/>
      <c r="P73" s="25"/>
      <c r="R73" s="25"/>
      <c r="S73" s="25"/>
      <c r="T73" s="25"/>
      <c r="U73" s="25"/>
      <c r="V73" s="25"/>
      <c r="W73" s="25"/>
      <c r="X73" s="25"/>
    </row>
    <row r="74" spans="1:24" x14ac:dyDescent="0.25">
      <c r="A74" s="2" t="s">
        <v>131</v>
      </c>
      <c r="B74" s="19">
        <v>1235</v>
      </c>
      <c r="C74" s="19">
        <v>1236</v>
      </c>
      <c r="D74" s="19">
        <v>1228</v>
      </c>
      <c r="E74" s="19">
        <v>1224</v>
      </c>
      <c r="F74" s="19">
        <v>1219</v>
      </c>
      <c r="G74" s="19">
        <v>1228</v>
      </c>
      <c r="H74" s="19">
        <f>3452/2.81</f>
        <v>1228.4697508896797</v>
      </c>
      <c r="I74" s="19">
        <f>-266/-0.34</f>
        <v>782.35294117647049</v>
      </c>
      <c r="K74" s="25"/>
      <c r="L74" s="25"/>
      <c r="M74" s="25"/>
      <c r="N74" s="25"/>
      <c r="O74" s="25"/>
      <c r="P74" s="25"/>
      <c r="R74" s="25">
        <f>RATE(5,0,-G74,B74)</f>
        <v>1.1374745049678259E-3</v>
      </c>
      <c r="S74" s="25">
        <f t="shared" si="44"/>
        <v>1.1492605687045796E-3</v>
      </c>
      <c r="T74" s="25">
        <f t="shared" ref="T74:X76" si="61">(+B74-C74)/C74</f>
        <v>-8.090614886731392E-4</v>
      </c>
      <c r="U74" s="25">
        <f t="shared" si="61"/>
        <v>6.5146579804560263E-3</v>
      </c>
      <c r="V74" s="25">
        <f t="shared" si="61"/>
        <v>3.2679738562091504E-3</v>
      </c>
      <c r="W74" s="25">
        <f t="shared" si="61"/>
        <v>4.1017227235438884E-3</v>
      </c>
      <c r="X74" s="25">
        <f t="shared" si="61"/>
        <v>-7.3289902280130291E-3</v>
      </c>
    </row>
    <row r="75" spans="1:24" x14ac:dyDescent="0.25">
      <c r="A75" s="2" t="s">
        <v>132</v>
      </c>
      <c r="B75" s="7">
        <f>+B70/B74</f>
        <v>1.9133603238866397</v>
      </c>
      <c r="C75" s="7">
        <f t="shared" ref="C75:G75" si="62">+C70/C74</f>
        <v>0.81877022653721687</v>
      </c>
      <c r="D75" s="7">
        <f t="shared" si="62"/>
        <v>0.28990228013029318</v>
      </c>
      <c r="E75" s="7">
        <f t="shared" si="62"/>
        <v>1.5808823529411764</v>
      </c>
      <c r="F75" s="7">
        <f t="shared" si="62"/>
        <v>-8.3609515996718624</v>
      </c>
      <c r="G75" s="7">
        <f t="shared" si="62"/>
        <v>8.9096091205211732</v>
      </c>
      <c r="H75" s="7">
        <f>+H72/H74</f>
        <v>2.81</v>
      </c>
      <c r="I75" s="7">
        <f>+I72/I74</f>
        <v>-0.34</v>
      </c>
      <c r="K75" s="25"/>
      <c r="L75" s="25"/>
      <c r="M75" s="25"/>
      <c r="N75" s="25"/>
      <c r="O75" s="25"/>
      <c r="P75" s="25"/>
      <c r="R75" s="25">
        <f>RATE(5,0,-G75,B75)</f>
        <v>-0.26483026064109128</v>
      </c>
      <c r="S75" s="25">
        <f t="shared" si="44"/>
        <v>-0.15659011145761975</v>
      </c>
      <c r="T75" s="25">
        <f t="shared" si="61"/>
        <v>1.3368709094109552</v>
      </c>
      <c r="U75" s="25">
        <f t="shared" si="61"/>
        <v>1.8242972982800625</v>
      </c>
      <c r="V75" s="25">
        <f t="shared" si="61"/>
        <v>-0.81661995303386115</v>
      </c>
      <c r="W75" s="25">
        <f t="shared" si="61"/>
        <v>-1.1890792374642163</v>
      </c>
      <c r="X75" s="25">
        <f t="shared" si="61"/>
        <v>-1.9384195744810389</v>
      </c>
    </row>
    <row r="76" spans="1:24" x14ac:dyDescent="0.25">
      <c r="A76" s="2" t="s">
        <v>133</v>
      </c>
      <c r="B76" s="24">
        <v>1.6</v>
      </c>
      <c r="C76" s="24">
        <v>1.6</v>
      </c>
      <c r="D76" s="24">
        <v>1.6</v>
      </c>
      <c r="E76" s="24">
        <v>1.6</v>
      </c>
      <c r="F76" s="24">
        <v>2.5</v>
      </c>
      <c r="G76" s="24">
        <v>2.4500000000000002</v>
      </c>
      <c r="H76" s="24">
        <v>2.35</v>
      </c>
      <c r="I76" s="24">
        <v>1.7</v>
      </c>
      <c r="K76" s="25"/>
      <c r="L76" s="25"/>
      <c r="M76" s="25"/>
      <c r="N76" s="25"/>
      <c r="O76" s="25"/>
      <c r="P76" s="25"/>
      <c r="R76" s="25">
        <f>RATE(5,0,-G76,B76)</f>
        <v>-8.1686900081131844E-2</v>
      </c>
      <c r="S76" s="25">
        <f t="shared" si="44"/>
        <v>-6.7918367346938791E-2</v>
      </c>
      <c r="T76" s="25">
        <f t="shared" si="61"/>
        <v>0</v>
      </c>
      <c r="U76" s="25">
        <f t="shared" si="61"/>
        <v>0</v>
      </c>
      <c r="V76" s="25">
        <f t="shared" si="61"/>
        <v>0</v>
      </c>
      <c r="W76" s="25">
        <f t="shared" si="61"/>
        <v>-0.36</v>
      </c>
      <c r="X76" s="25">
        <f t="shared" si="61"/>
        <v>2.0408163265306048E-2</v>
      </c>
    </row>
    <row r="77" spans="1:24" x14ac:dyDescent="0.25">
      <c r="B77" s="7"/>
      <c r="C77" s="7"/>
      <c r="D77" s="7"/>
      <c r="E77" s="7"/>
      <c r="F77" s="7"/>
      <c r="G77" s="7"/>
      <c r="H77" s="7"/>
      <c r="I77" s="7"/>
      <c r="K77" s="25"/>
      <c r="L77" s="25"/>
      <c r="M77" s="25"/>
      <c r="N77" s="25"/>
      <c r="O77" s="25"/>
      <c r="P77" s="25"/>
      <c r="R77" s="25"/>
      <c r="S77" s="25"/>
      <c r="T77" s="25"/>
      <c r="U77" s="25"/>
      <c r="V77" s="25"/>
      <c r="W77" s="25"/>
      <c r="X77" s="25"/>
    </row>
    <row r="78" spans="1:24" x14ac:dyDescent="0.25">
      <c r="K78" s="25"/>
      <c r="L78" s="25"/>
      <c r="M78" s="25"/>
      <c r="N78" s="25"/>
      <c r="O78" s="25"/>
      <c r="P78" s="25"/>
      <c r="R78" s="25"/>
      <c r="S78" s="25"/>
      <c r="T78" s="25"/>
      <c r="U78" s="25"/>
      <c r="V78" s="25"/>
      <c r="W78" s="25"/>
      <c r="X78" s="25"/>
    </row>
    <row r="79" spans="1:24" s="53" customFormat="1" x14ac:dyDescent="0.25">
      <c r="A79" s="66" t="str">
        <f>+A1</f>
        <v>Kraft Heinz Company</v>
      </c>
      <c r="B79" s="66" t="str">
        <f>+B1</f>
        <v>As reported</v>
      </c>
      <c r="C79" s="66"/>
      <c r="D79" s="66"/>
      <c r="E79" s="66"/>
      <c r="F79" s="66"/>
      <c r="G79" s="66"/>
      <c r="H79" s="66"/>
      <c r="I79" s="66"/>
      <c r="K79" s="66" t="str">
        <f>+B79</f>
        <v>As reported</v>
      </c>
      <c r="L79" s="66"/>
      <c r="M79" s="66"/>
      <c r="N79" s="66"/>
      <c r="O79" s="66"/>
      <c r="P79" s="66"/>
      <c r="R79" s="66" t="str">
        <f>+B79</f>
        <v>As reported</v>
      </c>
      <c r="S79" s="66"/>
      <c r="T79" s="66"/>
      <c r="U79" s="66"/>
      <c r="V79" s="66"/>
      <c r="W79" s="66"/>
      <c r="X79" s="66"/>
    </row>
    <row r="80" spans="1:24" s="53" customFormat="1" x14ac:dyDescent="0.25">
      <c r="A80" s="66" t="s">
        <v>134</v>
      </c>
      <c r="B80" s="66"/>
      <c r="C80" s="66"/>
      <c r="D80" s="66"/>
      <c r="E80" s="66"/>
      <c r="F80" s="66"/>
      <c r="G80" s="66"/>
      <c r="H80" s="66"/>
      <c r="I80" s="66"/>
      <c r="K80" s="66" t="s">
        <v>135</v>
      </c>
      <c r="L80" s="66"/>
      <c r="M80" s="66"/>
      <c r="N80" s="66"/>
      <c r="O80" s="66"/>
      <c r="P80" s="66"/>
      <c r="R80" s="66" t="s">
        <v>63</v>
      </c>
      <c r="S80" s="66"/>
      <c r="T80" s="66"/>
      <c r="U80" s="66"/>
      <c r="V80" s="66"/>
      <c r="W80" s="66"/>
      <c r="X80" s="66"/>
    </row>
    <row r="81" spans="1:24" s="53" customFormat="1" x14ac:dyDescent="0.25">
      <c r="A81" s="66" t="str">
        <f>+A3</f>
        <v>in millions except per share data</v>
      </c>
      <c r="B81" s="66"/>
      <c r="C81" s="66"/>
      <c r="D81" s="66"/>
      <c r="E81" s="66"/>
      <c r="F81" s="66" t="s">
        <v>65</v>
      </c>
      <c r="G81" s="72" t="s">
        <v>66</v>
      </c>
      <c r="H81" s="67"/>
      <c r="I81" s="72" t="s">
        <v>114</v>
      </c>
      <c r="K81" s="66"/>
      <c r="L81" s="66"/>
      <c r="M81" s="66"/>
      <c r="N81" s="66"/>
      <c r="O81" s="66"/>
      <c r="P81" s="72" t="s">
        <v>66</v>
      </c>
      <c r="R81" s="66" t="s">
        <v>67</v>
      </c>
      <c r="S81" s="66" t="s">
        <v>68</v>
      </c>
      <c r="T81" s="66" t="s">
        <v>69</v>
      </c>
      <c r="U81" s="66" t="s">
        <v>70</v>
      </c>
      <c r="V81" s="66" t="s">
        <v>71</v>
      </c>
      <c r="W81" s="66" t="s">
        <v>72</v>
      </c>
      <c r="X81" s="66" t="s">
        <v>73</v>
      </c>
    </row>
    <row r="82" spans="1:24" s="53" customFormat="1" ht="15.75" thickBot="1" x14ac:dyDescent="0.3">
      <c r="A82" s="67" t="str">
        <f>+A4</f>
        <v>Fiscal year ended 12/31</v>
      </c>
      <c r="B82" s="69">
        <v>2022</v>
      </c>
      <c r="C82" s="69">
        <v>2021</v>
      </c>
      <c r="D82" s="69">
        <v>2020</v>
      </c>
      <c r="E82" s="69">
        <v>2019</v>
      </c>
      <c r="F82" s="69">
        <v>2018</v>
      </c>
      <c r="G82" s="69">
        <v>2017</v>
      </c>
      <c r="H82" s="69">
        <v>2016</v>
      </c>
      <c r="I82" s="69">
        <v>2015</v>
      </c>
      <c r="K82" s="69">
        <v>2022</v>
      </c>
      <c r="L82" s="69">
        <v>2021</v>
      </c>
      <c r="M82" s="69">
        <v>2020</v>
      </c>
      <c r="N82" s="69">
        <v>2019</v>
      </c>
      <c r="O82" s="69">
        <v>2018</v>
      </c>
      <c r="P82" s="69">
        <v>2017</v>
      </c>
      <c r="R82" s="70" t="s">
        <v>75</v>
      </c>
      <c r="S82" s="70" t="s">
        <v>76</v>
      </c>
      <c r="T82" s="71">
        <v>2022</v>
      </c>
      <c r="U82" s="71">
        <v>2021</v>
      </c>
      <c r="V82" s="71">
        <v>2020</v>
      </c>
      <c r="W82" s="71">
        <v>2019</v>
      </c>
      <c r="X82" s="71">
        <v>2018</v>
      </c>
    </row>
    <row r="83" spans="1:24" x14ac:dyDescent="0.25">
      <c r="A83" s="2" t="s">
        <v>136</v>
      </c>
      <c r="B83" s="8">
        <f>+B68</f>
        <v>2368</v>
      </c>
      <c r="C83" s="8">
        <f t="shared" ref="C83:G83" si="63">+C68</f>
        <v>1024</v>
      </c>
      <c r="D83" s="8">
        <f t="shared" si="63"/>
        <v>361</v>
      </c>
      <c r="E83" s="8">
        <f t="shared" si="63"/>
        <v>1933</v>
      </c>
      <c r="F83" s="8">
        <f t="shared" si="63"/>
        <v>-10254</v>
      </c>
      <c r="G83" s="8">
        <f t="shared" si="63"/>
        <v>10932</v>
      </c>
      <c r="H83" s="8">
        <f>+H68</f>
        <v>3642</v>
      </c>
      <c r="I83" s="8">
        <f>+I68</f>
        <v>647</v>
      </c>
      <c r="K83" s="25"/>
      <c r="L83" s="25"/>
      <c r="M83" s="25"/>
      <c r="N83" s="25"/>
      <c r="O83" s="25"/>
      <c r="P83" s="25"/>
      <c r="R83" s="25">
        <f>RATE(5,0,-G83,B83)</f>
        <v>-0.26356161826246205</v>
      </c>
      <c r="S83" s="25">
        <f t="shared" si="44"/>
        <v>-0.15813412150269723</v>
      </c>
      <c r="T83" s="25">
        <f t="shared" ref="T83:X85" si="64">(+B83-C83)/C83</f>
        <v>1.3125</v>
      </c>
      <c r="U83" s="25">
        <f t="shared" si="64"/>
        <v>1.8365650969529086</v>
      </c>
      <c r="V83" s="25">
        <f t="shared" si="64"/>
        <v>-0.81324366270046555</v>
      </c>
      <c r="W83" s="25">
        <f t="shared" si="64"/>
        <v>-1.1885118002730641</v>
      </c>
      <c r="X83" s="25">
        <f t="shared" si="64"/>
        <v>-1.9379802414928651</v>
      </c>
    </row>
    <row r="84" spans="1:24" x14ac:dyDescent="0.25">
      <c r="A84" s="5" t="s">
        <v>137</v>
      </c>
      <c r="B84" s="2">
        <v>933</v>
      </c>
      <c r="C84" s="2">
        <v>910</v>
      </c>
      <c r="D84" s="2">
        <v>969</v>
      </c>
      <c r="E84" s="2">
        <v>994</v>
      </c>
      <c r="F84" s="2">
        <v>983</v>
      </c>
      <c r="G84" s="2">
        <v>1031</v>
      </c>
      <c r="H84" s="2">
        <v>1337</v>
      </c>
      <c r="I84" s="2">
        <v>740</v>
      </c>
      <c r="K84" s="25"/>
      <c r="L84" s="25"/>
      <c r="M84" s="25"/>
      <c r="N84" s="25"/>
      <c r="O84" s="25"/>
      <c r="P84" s="25"/>
      <c r="R84" s="25">
        <f>RATE(5,0,-G84,B84)</f>
        <v>-1.9777661112159107E-2</v>
      </c>
      <c r="S84" s="25">
        <f t="shared" si="44"/>
        <v>-1.9226040021655122E-2</v>
      </c>
      <c r="T84" s="25">
        <f t="shared" si="64"/>
        <v>2.5274725274725275E-2</v>
      </c>
      <c r="U84" s="25">
        <f t="shared" si="64"/>
        <v>-6.0887512899896801E-2</v>
      </c>
      <c r="V84" s="25">
        <f t="shared" si="64"/>
        <v>-2.5150905432595575E-2</v>
      </c>
      <c r="W84" s="25">
        <f t="shared" si="64"/>
        <v>1.1190233977619531E-2</v>
      </c>
      <c r="X84" s="25">
        <f t="shared" si="64"/>
        <v>-4.6556741028128033E-2</v>
      </c>
    </row>
    <row r="85" spans="1:24" x14ac:dyDescent="0.25">
      <c r="A85" s="5" t="s">
        <v>138</v>
      </c>
      <c r="B85" s="2">
        <v>-14</v>
      </c>
      <c r="C85" s="2">
        <v>-7</v>
      </c>
      <c r="D85" s="2">
        <v>-122</v>
      </c>
      <c r="E85" s="2">
        <v>-306</v>
      </c>
      <c r="F85" s="2">
        <v>-339</v>
      </c>
      <c r="G85" s="2">
        <v>-328</v>
      </c>
      <c r="H85" s="2">
        <v>-333</v>
      </c>
      <c r="I85" s="2">
        <v>-112</v>
      </c>
      <c r="K85" s="25"/>
      <c r="L85" s="25"/>
      <c r="M85" s="25"/>
      <c r="N85" s="25"/>
      <c r="O85" s="25"/>
      <c r="P85" s="25"/>
      <c r="R85" s="25">
        <f>RATE(5,0,-G85,B85)</f>
        <v>-0.46782944863591575</v>
      </c>
      <c r="S85" s="25">
        <f t="shared" si="44"/>
        <v>-0.12154773754793299</v>
      </c>
      <c r="T85" s="25">
        <f t="shared" si="64"/>
        <v>1</v>
      </c>
      <c r="U85" s="25">
        <f t="shared" si="64"/>
        <v>-0.94262295081967218</v>
      </c>
      <c r="V85" s="25">
        <f t="shared" si="64"/>
        <v>-0.60130718954248363</v>
      </c>
      <c r="W85" s="25">
        <f t="shared" si="64"/>
        <v>-9.7345132743362831E-2</v>
      </c>
      <c r="X85" s="25">
        <f t="shared" si="64"/>
        <v>3.3536585365853661E-2</v>
      </c>
    </row>
    <row r="86" spans="1:24" x14ac:dyDescent="0.25">
      <c r="A86" s="5" t="s">
        <v>139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347</v>
      </c>
      <c r="K86" s="25"/>
      <c r="L86" s="25"/>
      <c r="M86" s="25"/>
      <c r="N86" s="25"/>
      <c r="O86" s="25"/>
      <c r="P86" s="25"/>
      <c r="R86" s="25"/>
      <c r="S86" s="25"/>
      <c r="T86" s="25"/>
      <c r="U86" s="25"/>
      <c r="V86" s="25"/>
      <c r="W86" s="25"/>
      <c r="X86" s="25"/>
    </row>
    <row r="87" spans="1:24" x14ac:dyDescent="0.25">
      <c r="A87" s="5" t="s">
        <v>140</v>
      </c>
      <c r="B87" s="2">
        <v>-56</v>
      </c>
      <c r="C87" s="2">
        <v>-4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K87" s="25"/>
      <c r="L87" s="25"/>
      <c r="M87" s="25"/>
      <c r="N87" s="25"/>
      <c r="O87" s="25"/>
      <c r="P87" s="25"/>
      <c r="R87" s="25"/>
      <c r="S87" s="25">
        <f t="shared" si="44"/>
        <v>13</v>
      </c>
      <c r="T87" s="25">
        <f t="shared" ref="T87:T106" si="65">(+B87-C87)/C87</f>
        <v>13</v>
      </c>
      <c r="U87" s="25"/>
      <c r="V87" s="25"/>
      <c r="W87" s="25"/>
      <c r="X87" s="25"/>
    </row>
    <row r="88" spans="1:24" x14ac:dyDescent="0.25">
      <c r="A88" s="5" t="s">
        <v>141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58</v>
      </c>
      <c r="K88" s="25"/>
      <c r="L88" s="25"/>
      <c r="M88" s="25"/>
      <c r="N88" s="25"/>
      <c r="O88" s="25"/>
      <c r="P88" s="25"/>
      <c r="R88" s="25"/>
      <c r="S88" s="25"/>
      <c r="T88" s="25"/>
      <c r="U88" s="25"/>
      <c r="V88" s="25"/>
      <c r="W88" s="25"/>
      <c r="X88" s="25"/>
    </row>
    <row r="89" spans="1:24" x14ac:dyDescent="0.25">
      <c r="A89" s="5" t="s">
        <v>142</v>
      </c>
      <c r="B89" s="2">
        <v>148</v>
      </c>
      <c r="C89" s="2">
        <v>197</v>
      </c>
      <c r="D89" s="2">
        <v>156</v>
      </c>
      <c r="E89" s="2">
        <v>46</v>
      </c>
      <c r="F89" s="2">
        <v>33</v>
      </c>
      <c r="G89" s="2">
        <v>46</v>
      </c>
      <c r="H89" s="2">
        <v>46</v>
      </c>
      <c r="I89" s="2">
        <v>133</v>
      </c>
      <c r="K89" s="25"/>
      <c r="L89" s="25"/>
      <c r="M89" s="25"/>
      <c r="N89" s="25"/>
      <c r="O89" s="25"/>
      <c r="P89" s="25"/>
      <c r="R89" s="25">
        <f t="shared" ref="R89:R106" si="66">RATE(5,0,-G89,B89)</f>
        <v>0.2632833632037212</v>
      </c>
      <c r="S89" s="25">
        <f t="shared" si="44"/>
        <v>0.50334491889336297</v>
      </c>
      <c r="T89" s="25">
        <f t="shared" si="65"/>
        <v>-0.24873096446700507</v>
      </c>
      <c r="U89" s="25">
        <f t="shared" ref="U89:U106" si="67">(+C89-D89)/D89</f>
        <v>0.26282051282051283</v>
      </c>
      <c r="V89" s="25">
        <f t="shared" ref="V89:V106" si="68">(+D89-E89)/E89</f>
        <v>2.3913043478260869</v>
      </c>
      <c r="W89" s="25">
        <f t="shared" ref="W89:W106" si="69">(+E89-F89)/F89</f>
        <v>0.39393939393939392</v>
      </c>
      <c r="X89" s="25">
        <f t="shared" ref="X89:X106" si="70">(+F89-G89)/G89</f>
        <v>-0.28260869565217389</v>
      </c>
    </row>
    <row r="90" spans="1:24" x14ac:dyDescent="0.25">
      <c r="A90" s="5" t="s">
        <v>93</v>
      </c>
      <c r="B90" s="2">
        <v>-278</v>
      </c>
      <c r="C90" s="2">
        <v>-1042</v>
      </c>
      <c r="D90" s="2">
        <v>-343</v>
      </c>
      <c r="E90" s="2">
        <v>-293</v>
      </c>
      <c r="F90" s="2">
        <v>-1967</v>
      </c>
      <c r="G90" s="2">
        <v>-6495</v>
      </c>
      <c r="H90" s="2">
        <v>-29</v>
      </c>
      <c r="I90" s="2">
        <v>-317</v>
      </c>
      <c r="K90" s="25"/>
      <c r="L90" s="25"/>
      <c r="M90" s="25"/>
      <c r="N90" s="25"/>
      <c r="O90" s="25"/>
      <c r="P90" s="25"/>
      <c r="R90" s="25">
        <f t="shared" si="66"/>
        <v>-0.46753247175287116</v>
      </c>
      <c r="S90" s="25">
        <f t="shared" si="44"/>
        <v>-1.4569977367617493E-2</v>
      </c>
      <c r="T90" s="25">
        <f t="shared" si="65"/>
        <v>-0.73320537428023036</v>
      </c>
      <c r="U90" s="25">
        <f t="shared" si="67"/>
        <v>2.0379008746355685</v>
      </c>
      <c r="V90" s="25">
        <f t="shared" si="68"/>
        <v>0.17064846416382254</v>
      </c>
      <c r="W90" s="25">
        <f t="shared" si="69"/>
        <v>-0.85104219623792576</v>
      </c>
      <c r="X90" s="25">
        <f t="shared" si="70"/>
        <v>-0.69715165511932253</v>
      </c>
    </row>
    <row r="91" spans="1:24" x14ac:dyDescent="0.25">
      <c r="A91" s="5" t="s">
        <v>143</v>
      </c>
      <c r="B91" s="2">
        <v>-23</v>
      </c>
      <c r="C91" s="2">
        <v>-27</v>
      </c>
      <c r="D91" s="2">
        <v>-27</v>
      </c>
      <c r="E91" s="2">
        <v>-32</v>
      </c>
      <c r="F91" s="2">
        <v>-76</v>
      </c>
      <c r="G91" s="2">
        <v>-1659</v>
      </c>
      <c r="H91" s="2">
        <v>-344</v>
      </c>
      <c r="I91" s="2">
        <v>-286</v>
      </c>
      <c r="K91" s="25"/>
      <c r="L91" s="25"/>
      <c r="M91" s="25"/>
      <c r="N91" s="25"/>
      <c r="O91" s="25"/>
      <c r="P91" s="25"/>
      <c r="R91" s="25">
        <f t="shared" si="66"/>
        <v>-0.57501236935767197</v>
      </c>
      <c r="S91" s="25">
        <f t="shared" si="44"/>
        <v>-0.36750695744283352</v>
      </c>
      <c r="T91" s="25">
        <f t="shared" si="65"/>
        <v>-0.14814814814814814</v>
      </c>
      <c r="U91" s="25">
        <f t="shared" si="67"/>
        <v>0</v>
      </c>
      <c r="V91" s="25">
        <f t="shared" si="68"/>
        <v>-0.15625</v>
      </c>
      <c r="W91" s="25">
        <f t="shared" si="69"/>
        <v>-0.57894736842105265</v>
      </c>
      <c r="X91" s="25">
        <f t="shared" si="70"/>
        <v>-0.95418927064496684</v>
      </c>
    </row>
    <row r="92" spans="1:24" x14ac:dyDescent="0.25">
      <c r="A92" s="5" t="s">
        <v>144</v>
      </c>
      <c r="B92" s="2">
        <v>913</v>
      </c>
      <c r="C92" s="2">
        <v>1634</v>
      </c>
      <c r="D92" s="2">
        <v>3399</v>
      </c>
      <c r="E92" s="2">
        <v>1899</v>
      </c>
      <c r="F92" s="2">
        <v>15936</v>
      </c>
      <c r="G92" s="2">
        <v>49</v>
      </c>
      <c r="H92" s="2">
        <v>0</v>
      </c>
      <c r="I92" s="2">
        <v>0</v>
      </c>
      <c r="K92" s="25"/>
      <c r="L92" s="25"/>
      <c r="M92" s="25"/>
      <c r="N92" s="25"/>
      <c r="O92" s="25"/>
      <c r="P92" s="25"/>
      <c r="R92" s="25">
        <f t="shared" si="66"/>
        <v>0.79496068015980603</v>
      </c>
      <c r="S92" s="25">
        <f t="shared" si="44"/>
        <v>64.634604904875033</v>
      </c>
      <c r="T92" s="25">
        <f t="shared" si="65"/>
        <v>-0.44124847001223988</v>
      </c>
      <c r="U92" s="25">
        <f t="shared" si="67"/>
        <v>-0.51927037363930573</v>
      </c>
      <c r="V92" s="25">
        <f t="shared" si="68"/>
        <v>0.78988941548183256</v>
      </c>
      <c r="W92" s="25">
        <f t="shared" si="69"/>
        <v>-0.88083584337349397</v>
      </c>
      <c r="X92" s="25">
        <f t="shared" si="70"/>
        <v>324.22448979591837</v>
      </c>
    </row>
    <row r="93" spans="1:24" x14ac:dyDescent="0.25">
      <c r="A93" s="5" t="s">
        <v>145</v>
      </c>
      <c r="B93" s="2">
        <v>17</v>
      </c>
      <c r="C93" s="2">
        <v>0</v>
      </c>
      <c r="D93" s="2">
        <v>6</v>
      </c>
      <c r="E93" s="2">
        <v>10</v>
      </c>
      <c r="F93" s="2">
        <v>146</v>
      </c>
      <c r="G93" s="2">
        <v>36</v>
      </c>
      <c r="H93" s="2">
        <v>24</v>
      </c>
      <c r="I93" s="2">
        <v>234</v>
      </c>
      <c r="K93" s="25"/>
      <c r="L93" s="25"/>
      <c r="M93" s="25"/>
      <c r="N93" s="25"/>
      <c r="O93" s="25"/>
      <c r="P93" s="25"/>
      <c r="R93" s="25">
        <f t="shared" si="66"/>
        <v>-0.13934462747481444</v>
      </c>
      <c r="S93" s="25">
        <f t="shared" si="44"/>
        <v>0.18101217656012181</v>
      </c>
      <c r="T93" s="25"/>
      <c r="U93" s="25">
        <f t="shared" si="67"/>
        <v>-1</v>
      </c>
      <c r="V93" s="25">
        <f t="shared" si="68"/>
        <v>-0.4</v>
      </c>
      <c r="W93" s="25">
        <f t="shared" si="69"/>
        <v>-0.93150684931506844</v>
      </c>
      <c r="X93" s="25">
        <f t="shared" si="70"/>
        <v>3.0555555555555554</v>
      </c>
    </row>
    <row r="94" spans="1:24" x14ac:dyDescent="0.25">
      <c r="A94" s="5" t="s">
        <v>146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236</v>
      </c>
      <c r="K94" s="25"/>
      <c r="L94" s="25"/>
      <c r="M94" s="25"/>
      <c r="N94" s="25"/>
      <c r="O94" s="25"/>
      <c r="P94" s="25"/>
      <c r="R94" s="25"/>
      <c r="S94" s="25"/>
      <c r="T94" s="25"/>
      <c r="U94" s="25"/>
      <c r="V94" s="25"/>
      <c r="W94" s="25"/>
      <c r="X94" s="25"/>
    </row>
    <row r="95" spans="1:24" x14ac:dyDescent="0.25">
      <c r="A95" s="5" t="s">
        <v>147</v>
      </c>
      <c r="B95" s="2">
        <v>-25</v>
      </c>
      <c r="C95" s="2">
        <v>-44</v>
      </c>
      <c r="D95" s="2">
        <v>2</v>
      </c>
      <c r="E95" s="2">
        <v>-420</v>
      </c>
      <c r="F95" s="2">
        <v>15</v>
      </c>
      <c r="G95" s="2">
        <v>0</v>
      </c>
      <c r="H95" s="2">
        <v>0</v>
      </c>
      <c r="I95" s="2">
        <v>0</v>
      </c>
      <c r="K95" s="25"/>
      <c r="L95" s="25"/>
      <c r="M95" s="25"/>
      <c r="N95" s="25"/>
      <c r="O95" s="25"/>
      <c r="P95" s="25"/>
      <c r="R95" s="25"/>
      <c r="S95" s="25">
        <f t="shared" si="44"/>
        <v>-13.359145021645022</v>
      </c>
      <c r="T95" s="25">
        <f t="shared" si="65"/>
        <v>-0.43181818181818182</v>
      </c>
      <c r="U95" s="25">
        <f t="shared" si="67"/>
        <v>-23</v>
      </c>
      <c r="V95" s="25">
        <f t="shared" si="68"/>
        <v>-1.0047619047619047</v>
      </c>
      <c r="W95" s="25">
        <f t="shared" si="69"/>
        <v>-29</v>
      </c>
      <c r="X95" s="25"/>
    </row>
    <row r="96" spans="1:24" x14ac:dyDescent="0.25">
      <c r="A96" s="5" t="s">
        <v>148</v>
      </c>
      <c r="B96" s="2">
        <v>0</v>
      </c>
      <c r="C96" s="2">
        <v>1587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K96" s="25"/>
      <c r="L96" s="25"/>
      <c r="M96" s="25"/>
      <c r="N96" s="25"/>
      <c r="O96" s="25"/>
      <c r="P96" s="25"/>
      <c r="R96" s="25"/>
      <c r="S96" s="25">
        <f t="shared" si="44"/>
        <v>-1</v>
      </c>
      <c r="T96" s="25">
        <f t="shared" si="65"/>
        <v>-1</v>
      </c>
      <c r="U96" s="25"/>
      <c r="V96" s="25"/>
      <c r="W96" s="25"/>
      <c r="X96" s="25"/>
    </row>
    <row r="97" spans="1:24" x14ac:dyDescent="0.25">
      <c r="A97" s="5" t="s">
        <v>149</v>
      </c>
      <c r="B97" s="2">
        <v>-38</v>
      </c>
      <c r="C97" s="2">
        <v>917</v>
      </c>
      <c r="D97" s="2">
        <v>124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K97" s="25"/>
      <c r="L97" s="25"/>
      <c r="M97" s="25"/>
      <c r="N97" s="25"/>
      <c r="O97" s="25"/>
      <c r="P97" s="25"/>
      <c r="R97" s="25"/>
      <c r="S97" s="25">
        <f t="shared" si="44"/>
        <v>2.6768609068843006</v>
      </c>
      <c r="T97" s="25">
        <f t="shared" si="65"/>
        <v>-1.0414394765539803</v>
      </c>
      <c r="U97" s="25">
        <f t="shared" si="67"/>
        <v>6.395161290322581</v>
      </c>
      <c r="V97" s="25"/>
      <c r="W97" s="25"/>
      <c r="X97" s="25"/>
    </row>
    <row r="98" spans="1:24" x14ac:dyDescent="0.25">
      <c r="A98" s="5" t="s">
        <v>150</v>
      </c>
      <c r="B98" s="2">
        <v>7</v>
      </c>
      <c r="C98" s="2">
        <v>-187</v>
      </c>
      <c r="D98" s="2">
        <v>-54</v>
      </c>
      <c r="E98" s="2">
        <v>-46</v>
      </c>
      <c r="F98" s="2">
        <v>160</v>
      </c>
      <c r="G98" s="2">
        <v>253</v>
      </c>
      <c r="H98" s="2">
        <v>-134</v>
      </c>
      <c r="I98" s="2">
        <v>120</v>
      </c>
      <c r="K98" s="25"/>
      <c r="L98" s="25"/>
      <c r="M98" s="25"/>
      <c r="N98" s="25"/>
      <c r="O98" s="25"/>
      <c r="P98" s="25"/>
      <c r="R98" s="26">
        <f t="shared" si="66"/>
        <v>-0.51202732470001944</v>
      </c>
      <c r="S98" s="26">
        <f t="shared" si="44"/>
        <v>-1.1129216289062849E-2</v>
      </c>
      <c r="T98" s="26">
        <f t="shared" si="65"/>
        <v>-1.0374331550802138</v>
      </c>
      <c r="U98" s="26">
        <f t="shared" si="67"/>
        <v>2.4629629629629628</v>
      </c>
      <c r="V98" s="26">
        <f t="shared" si="68"/>
        <v>0.17391304347826086</v>
      </c>
      <c r="W98" s="26">
        <f t="shared" si="69"/>
        <v>-1.2875000000000001</v>
      </c>
      <c r="X98" s="26">
        <f t="shared" si="70"/>
        <v>-0.3675889328063241</v>
      </c>
    </row>
    <row r="99" spans="1:24" x14ac:dyDescent="0.25">
      <c r="A99" s="17" t="s">
        <v>151</v>
      </c>
      <c r="B99" s="18">
        <f>SUM(B83:B98)</f>
        <v>3952</v>
      </c>
      <c r="C99" s="18">
        <f t="shared" ref="C99:I99" si="71">SUM(C83:C98)</f>
        <v>4958</v>
      </c>
      <c r="D99" s="18">
        <f t="shared" si="71"/>
        <v>4471</v>
      </c>
      <c r="E99" s="18">
        <f t="shared" si="71"/>
        <v>3785</v>
      </c>
      <c r="F99" s="18">
        <f t="shared" si="71"/>
        <v>4637</v>
      </c>
      <c r="G99" s="18">
        <f t="shared" si="71"/>
        <v>3865</v>
      </c>
      <c r="H99" s="18">
        <f t="shared" si="71"/>
        <v>4209</v>
      </c>
      <c r="I99" s="18">
        <f t="shared" si="71"/>
        <v>1800</v>
      </c>
      <c r="K99" s="25"/>
      <c r="L99" s="25"/>
      <c r="M99" s="25"/>
      <c r="N99" s="25"/>
      <c r="O99" s="25"/>
      <c r="P99" s="25"/>
      <c r="R99" s="25">
        <f t="shared" si="66"/>
        <v>4.461944531612725E-3</v>
      </c>
      <c r="S99" s="25">
        <f t="shared" si="44"/>
        <v>2.0652661175588411E-2</v>
      </c>
      <c r="T99" s="25">
        <f t="shared" si="65"/>
        <v>-0.20290439693424769</v>
      </c>
      <c r="U99" s="25">
        <f t="shared" si="67"/>
        <v>0.1089241780362335</v>
      </c>
      <c r="V99" s="25">
        <f t="shared" si="68"/>
        <v>0.18124174372523116</v>
      </c>
      <c r="W99" s="25">
        <f t="shared" si="69"/>
        <v>-0.18373948673711452</v>
      </c>
      <c r="X99" s="25">
        <f t="shared" si="70"/>
        <v>0.1997412677878396</v>
      </c>
    </row>
    <row r="100" spans="1:24" x14ac:dyDescent="0.25">
      <c r="A100" s="2" t="s">
        <v>152</v>
      </c>
      <c r="K100" s="25"/>
      <c r="L100" s="25"/>
      <c r="M100" s="25"/>
      <c r="N100" s="25"/>
      <c r="O100" s="25"/>
      <c r="P100" s="25"/>
      <c r="R100" s="25"/>
      <c r="S100" s="25"/>
      <c r="T100" s="25"/>
      <c r="U100" s="25"/>
      <c r="V100" s="25"/>
      <c r="W100" s="25"/>
      <c r="X100" s="25"/>
    </row>
    <row r="101" spans="1:24" x14ac:dyDescent="0.25">
      <c r="A101" s="5" t="s">
        <v>18</v>
      </c>
      <c r="B101" s="2">
        <v>-228</v>
      </c>
      <c r="C101" s="2">
        <v>87</v>
      </c>
      <c r="D101" s="2">
        <v>-26</v>
      </c>
      <c r="E101" s="2">
        <v>140</v>
      </c>
      <c r="F101" s="2">
        <v>-2280</v>
      </c>
      <c r="G101" s="2">
        <v>-2629</v>
      </c>
      <c r="H101" s="2">
        <v>80</v>
      </c>
      <c r="I101" s="2">
        <v>838</v>
      </c>
      <c r="K101" s="25"/>
      <c r="L101" s="25"/>
      <c r="M101" s="25"/>
      <c r="N101" s="25"/>
      <c r="O101" s="25"/>
      <c r="P101" s="25"/>
      <c r="R101" s="25">
        <f t="shared" si="66"/>
        <v>-0.38676229142799318</v>
      </c>
      <c r="S101" s="25">
        <f t="shared" si="44"/>
        <v>-2.069342278181133</v>
      </c>
      <c r="T101" s="25">
        <f t="shared" si="65"/>
        <v>-3.6206896551724137</v>
      </c>
      <c r="U101" s="25">
        <f t="shared" si="67"/>
        <v>-4.3461538461538458</v>
      </c>
      <c r="V101" s="25">
        <f t="shared" si="68"/>
        <v>-1.1857142857142857</v>
      </c>
      <c r="W101" s="25">
        <f t="shared" si="69"/>
        <v>-1.0614035087719298</v>
      </c>
      <c r="X101" s="25">
        <f t="shared" si="70"/>
        <v>-0.13275009509319133</v>
      </c>
    </row>
    <row r="102" spans="1:24" x14ac:dyDescent="0.25">
      <c r="A102" s="5" t="s">
        <v>19</v>
      </c>
      <c r="B102" s="2">
        <v>-1121</v>
      </c>
      <c r="C102" s="2">
        <v>-144</v>
      </c>
      <c r="D102" s="2">
        <v>-249</v>
      </c>
      <c r="E102" s="2">
        <v>-277</v>
      </c>
      <c r="F102" s="2">
        <v>-251</v>
      </c>
      <c r="G102" s="2">
        <v>-236</v>
      </c>
      <c r="H102" s="2">
        <v>-130</v>
      </c>
      <c r="I102" s="2">
        <v>25</v>
      </c>
      <c r="K102" s="25"/>
      <c r="L102" s="25"/>
      <c r="M102" s="25"/>
      <c r="N102" s="25"/>
      <c r="O102" s="25"/>
      <c r="P102" s="25"/>
      <c r="R102" s="25">
        <f t="shared" si="66"/>
        <v>0.36564783932642692</v>
      </c>
      <c r="S102" s="25">
        <f t="shared" si="44"/>
        <v>1.2858194844295423</v>
      </c>
      <c r="T102" s="25">
        <f t="shared" si="65"/>
        <v>6.7847222222222223</v>
      </c>
      <c r="U102" s="25">
        <f t="shared" si="67"/>
        <v>-0.42168674698795183</v>
      </c>
      <c r="V102" s="25">
        <f t="shared" si="68"/>
        <v>-0.10108303249097472</v>
      </c>
      <c r="W102" s="25">
        <f t="shared" si="69"/>
        <v>0.10358565737051793</v>
      </c>
      <c r="X102" s="25">
        <f t="shared" si="70"/>
        <v>6.3559322033898302E-2</v>
      </c>
    </row>
    <row r="103" spans="1:24" x14ac:dyDescent="0.25">
      <c r="A103" s="5" t="s">
        <v>28</v>
      </c>
      <c r="B103" s="2">
        <v>152</v>
      </c>
      <c r="C103" s="2">
        <v>408</v>
      </c>
      <c r="D103" s="2">
        <v>207</v>
      </c>
      <c r="E103" s="2">
        <v>-58</v>
      </c>
      <c r="F103" s="2">
        <v>-23</v>
      </c>
      <c r="G103" s="2">
        <v>441</v>
      </c>
      <c r="H103" s="2">
        <v>943</v>
      </c>
      <c r="I103" s="2">
        <v>-119</v>
      </c>
      <c r="K103" s="25"/>
      <c r="L103" s="25"/>
      <c r="M103" s="25"/>
      <c r="N103" s="25"/>
      <c r="O103" s="25"/>
      <c r="P103" s="25"/>
      <c r="R103" s="25">
        <f t="shared" si="66"/>
        <v>-0.19187042718273711</v>
      </c>
      <c r="S103" s="25">
        <f t="shared" si="44"/>
        <v>-0.75116341389129349</v>
      </c>
      <c r="T103" s="25">
        <f t="shared" si="65"/>
        <v>-0.62745098039215685</v>
      </c>
      <c r="U103" s="25">
        <f t="shared" si="67"/>
        <v>0.97101449275362317</v>
      </c>
      <c r="V103" s="25">
        <f t="shared" si="68"/>
        <v>-4.568965517241379</v>
      </c>
      <c r="W103" s="25">
        <f t="shared" si="69"/>
        <v>1.5217391304347827</v>
      </c>
      <c r="X103" s="25">
        <f t="shared" si="70"/>
        <v>-1.0521541950113378</v>
      </c>
    </row>
    <row r="104" spans="1:24" x14ac:dyDescent="0.25">
      <c r="A104" s="5" t="s">
        <v>20</v>
      </c>
      <c r="B104" s="2">
        <v>-314</v>
      </c>
      <c r="C104" s="2">
        <v>-32</v>
      </c>
      <c r="D104" s="2">
        <v>40</v>
      </c>
      <c r="E104" s="2">
        <v>52</v>
      </c>
      <c r="F104" s="2">
        <v>-146</v>
      </c>
      <c r="G104" s="2">
        <v>-64</v>
      </c>
      <c r="H104" s="2">
        <f>454-42</f>
        <v>412</v>
      </c>
      <c r="I104" s="2">
        <f>-422+114</f>
        <v>-308</v>
      </c>
      <c r="K104" s="25"/>
      <c r="L104" s="25"/>
      <c r="M104" s="25"/>
      <c r="N104" s="25"/>
      <c r="O104" s="25"/>
      <c r="P104" s="25"/>
      <c r="R104" s="25">
        <f t="shared" si="66"/>
        <v>0.37451642796623941</v>
      </c>
      <c r="S104" s="25">
        <f t="shared" si="44"/>
        <v>1.3413632771338251</v>
      </c>
      <c r="T104" s="25">
        <f t="shared" si="65"/>
        <v>8.8125</v>
      </c>
      <c r="U104" s="25">
        <f t="shared" si="67"/>
        <v>-1.8</v>
      </c>
      <c r="V104" s="25">
        <f t="shared" si="68"/>
        <v>-0.23076923076923078</v>
      </c>
      <c r="W104" s="25">
        <f t="shared" si="69"/>
        <v>-1.3561643835616439</v>
      </c>
      <c r="X104" s="25">
        <f t="shared" si="70"/>
        <v>1.28125</v>
      </c>
    </row>
    <row r="105" spans="1:24" x14ac:dyDescent="0.25">
      <c r="A105" s="5" t="s">
        <v>29</v>
      </c>
      <c r="B105" s="2">
        <v>28</v>
      </c>
      <c r="C105" s="2">
        <v>87</v>
      </c>
      <c r="D105" s="2">
        <v>486</v>
      </c>
      <c r="E105" s="2">
        <v>-90</v>
      </c>
      <c r="F105" s="2">
        <v>637</v>
      </c>
      <c r="G105" s="2">
        <v>-876</v>
      </c>
      <c r="H105" s="2">
        <v>-276</v>
      </c>
      <c r="I105" s="2">
        <v>231</v>
      </c>
      <c r="K105" s="25"/>
      <c r="L105" s="25"/>
      <c r="M105" s="25"/>
      <c r="N105" s="25"/>
      <c r="O105" s="25"/>
      <c r="P105" s="25"/>
      <c r="Q105" s="30"/>
      <c r="R105" s="25">
        <f>RATE(5,0,G105,B105)</f>
        <v>-0.49773746411807618</v>
      </c>
      <c r="S105" s="25">
        <f t="shared" si="44"/>
        <v>-2.1535209615554671</v>
      </c>
      <c r="T105" s="25">
        <f t="shared" si="65"/>
        <v>-0.67816091954022983</v>
      </c>
      <c r="U105" s="25">
        <f t="shared" si="67"/>
        <v>-0.82098765432098764</v>
      </c>
      <c r="V105" s="25">
        <f t="shared" si="68"/>
        <v>-6.4</v>
      </c>
      <c r="W105" s="25">
        <f t="shared" si="69"/>
        <v>-1.141287284144427</v>
      </c>
      <c r="X105" s="25">
        <f t="shared" si="70"/>
        <v>-1.7271689497716896</v>
      </c>
    </row>
    <row r="106" spans="1:24" x14ac:dyDescent="0.25">
      <c r="A106" s="2" t="s">
        <v>153</v>
      </c>
      <c r="B106" s="10">
        <f>SUM(B99:B105)</f>
        <v>2469</v>
      </c>
      <c r="C106" s="10">
        <f t="shared" ref="C106:I106" si="72">SUM(C99:C105)</f>
        <v>5364</v>
      </c>
      <c r="D106" s="10">
        <f t="shared" si="72"/>
        <v>4929</v>
      </c>
      <c r="E106" s="10">
        <f t="shared" si="72"/>
        <v>3552</v>
      </c>
      <c r="F106" s="10">
        <f t="shared" si="72"/>
        <v>2574</v>
      </c>
      <c r="G106" s="10">
        <f t="shared" si="72"/>
        <v>501</v>
      </c>
      <c r="H106" s="10">
        <f t="shared" si="72"/>
        <v>5238</v>
      </c>
      <c r="I106" s="10">
        <f t="shared" si="72"/>
        <v>2467</v>
      </c>
      <c r="K106" s="29">
        <f t="shared" ref="K106:P106" si="73">+B106/B$106</f>
        <v>1</v>
      </c>
      <c r="L106" s="29">
        <f t="shared" si="73"/>
        <v>1</v>
      </c>
      <c r="M106" s="29">
        <f t="shared" si="73"/>
        <v>1</v>
      </c>
      <c r="N106" s="29">
        <f t="shared" si="73"/>
        <v>1</v>
      </c>
      <c r="O106" s="29">
        <f t="shared" si="73"/>
        <v>1</v>
      </c>
      <c r="P106" s="29">
        <f t="shared" si="73"/>
        <v>1</v>
      </c>
      <c r="Q106" s="30"/>
      <c r="R106" s="29">
        <f t="shared" si="66"/>
        <v>0.37574097606482232</v>
      </c>
      <c r="S106" s="29">
        <f t="shared" si="44"/>
        <v>0.89077817457706199</v>
      </c>
      <c r="T106" s="29">
        <f t="shared" si="65"/>
        <v>-0.53970917225950787</v>
      </c>
      <c r="U106" s="29">
        <f t="shared" si="67"/>
        <v>8.825319537431528E-2</v>
      </c>
      <c r="V106" s="29">
        <f t="shared" si="68"/>
        <v>0.38766891891891891</v>
      </c>
      <c r="W106" s="29">
        <f t="shared" si="69"/>
        <v>0.37995337995337997</v>
      </c>
      <c r="X106" s="29">
        <f t="shared" si="70"/>
        <v>4.1377245508982039</v>
      </c>
    </row>
    <row r="107" spans="1:24" x14ac:dyDescent="0.25">
      <c r="A107" s="2" t="s">
        <v>154</v>
      </c>
      <c r="K107" s="25"/>
      <c r="L107" s="25"/>
      <c r="M107" s="25"/>
      <c r="N107" s="25"/>
      <c r="O107" s="25"/>
      <c r="P107" s="25"/>
      <c r="Q107" s="30"/>
      <c r="R107" s="25"/>
      <c r="S107" s="25"/>
      <c r="T107" s="25"/>
      <c r="U107" s="25"/>
      <c r="V107" s="25"/>
      <c r="W107" s="25"/>
      <c r="X107" s="25"/>
    </row>
    <row r="108" spans="1:24" x14ac:dyDescent="0.25">
      <c r="A108" s="5" t="s">
        <v>155</v>
      </c>
      <c r="B108" s="2">
        <v>-916</v>
      </c>
      <c r="C108" s="2">
        <v>-905</v>
      </c>
      <c r="D108" s="2">
        <v>-596</v>
      </c>
      <c r="E108" s="2">
        <v>-768</v>
      </c>
      <c r="F108" s="2">
        <v>-826</v>
      </c>
      <c r="G108" s="2">
        <v>-1194</v>
      </c>
      <c r="H108" s="2">
        <v>-1247</v>
      </c>
      <c r="I108" s="2">
        <v>-648</v>
      </c>
      <c r="K108" s="25">
        <f t="shared" ref="K108:P114" si="74">+B108/B$106</f>
        <v>-0.37100040502227621</v>
      </c>
      <c r="L108" s="25">
        <f t="shared" si="74"/>
        <v>-0.16871737509321402</v>
      </c>
      <c r="M108" s="25">
        <f t="shared" si="74"/>
        <v>-0.12091702170825726</v>
      </c>
      <c r="N108" s="25">
        <f t="shared" si="74"/>
        <v>-0.21621621621621623</v>
      </c>
      <c r="O108" s="25">
        <f t="shared" si="74"/>
        <v>-0.3209013209013209</v>
      </c>
      <c r="P108" s="25">
        <f t="shared" si="74"/>
        <v>-2.3832335329341316</v>
      </c>
      <c r="Q108" s="30"/>
      <c r="R108" s="25">
        <f t="shared" ref="R108:R113" si="75">RATE(5,0,-G108,B108)</f>
        <v>-5.1629078507473856E-2</v>
      </c>
      <c r="S108" s="25">
        <f t="shared" si="44"/>
        <v>-1.4354576845997035E-2</v>
      </c>
      <c r="T108" s="25">
        <f t="shared" ref="T108:X114" si="76">(+B108-C108)/C108</f>
        <v>1.2154696132596685E-2</v>
      </c>
      <c r="U108" s="25">
        <f t="shared" si="76"/>
        <v>0.51845637583892612</v>
      </c>
      <c r="V108" s="25">
        <f t="shared" si="76"/>
        <v>-0.22395833333333334</v>
      </c>
      <c r="W108" s="25">
        <f t="shared" si="76"/>
        <v>-7.0217917675544791E-2</v>
      </c>
      <c r="X108" s="25">
        <f t="shared" si="76"/>
        <v>-0.3082077051926298</v>
      </c>
    </row>
    <row r="109" spans="1:24" x14ac:dyDescent="0.25">
      <c r="A109" s="5" t="s">
        <v>156</v>
      </c>
      <c r="B109" s="2">
        <v>0</v>
      </c>
      <c r="C109" s="2">
        <v>0</v>
      </c>
      <c r="D109" s="2">
        <v>0</v>
      </c>
      <c r="E109" s="2">
        <v>0</v>
      </c>
      <c r="F109" s="2">
        <v>1296</v>
      </c>
      <c r="G109" s="2">
        <v>2286</v>
      </c>
      <c r="H109" s="2">
        <v>0</v>
      </c>
      <c r="I109" s="2">
        <v>0</v>
      </c>
      <c r="K109" s="25">
        <f t="shared" si="74"/>
        <v>0</v>
      </c>
      <c r="L109" s="25">
        <f t="shared" si="74"/>
        <v>0</v>
      </c>
      <c r="M109" s="25">
        <f t="shared" si="74"/>
        <v>0</v>
      </c>
      <c r="N109" s="25">
        <f t="shared" si="74"/>
        <v>0</v>
      </c>
      <c r="O109" s="25">
        <f t="shared" si="74"/>
        <v>0.50349650349650354</v>
      </c>
      <c r="P109" s="25">
        <f t="shared" si="74"/>
        <v>4.5628742514970062</v>
      </c>
      <c r="Q109" s="30"/>
      <c r="R109" s="25">
        <f t="shared" si="75"/>
        <v>-0.99999940914518248</v>
      </c>
      <c r="S109" s="25">
        <f t="shared" si="44"/>
        <v>-0.7165354330708662</v>
      </c>
      <c r="T109" s="25"/>
      <c r="U109" s="25"/>
      <c r="V109" s="25"/>
      <c r="W109" s="25">
        <f t="shared" si="76"/>
        <v>-1</v>
      </c>
      <c r="X109" s="25">
        <f t="shared" si="76"/>
        <v>-0.43307086614173229</v>
      </c>
    </row>
    <row r="110" spans="1:24" x14ac:dyDescent="0.25">
      <c r="A110" s="5" t="s">
        <v>157</v>
      </c>
      <c r="B110" s="2">
        <v>-481</v>
      </c>
      <c r="C110" s="2">
        <v>-74</v>
      </c>
      <c r="D110" s="2">
        <v>0</v>
      </c>
      <c r="E110" s="2">
        <v>-199</v>
      </c>
      <c r="F110" s="2">
        <v>-248</v>
      </c>
      <c r="G110" s="2">
        <v>0</v>
      </c>
      <c r="H110" s="2">
        <v>0</v>
      </c>
      <c r="I110" s="2">
        <v>-9468</v>
      </c>
      <c r="K110" s="25">
        <f t="shared" si="74"/>
        <v>-0.19481571486431754</v>
      </c>
      <c r="L110" s="25">
        <f t="shared" si="74"/>
        <v>-1.3795674869500374E-2</v>
      </c>
      <c r="M110" s="25">
        <f t="shared" si="74"/>
        <v>0</v>
      </c>
      <c r="N110" s="25">
        <f t="shared" si="74"/>
        <v>-5.6024774774774772E-2</v>
      </c>
      <c r="O110" s="25">
        <f t="shared" si="74"/>
        <v>-9.6348096348096351E-2</v>
      </c>
      <c r="P110" s="25">
        <f t="shared" si="74"/>
        <v>0</v>
      </c>
      <c r="Q110" s="30"/>
      <c r="R110" s="25"/>
      <c r="S110" s="25">
        <f t="shared" si="44"/>
        <v>1.4341397849462367</v>
      </c>
      <c r="T110" s="25">
        <f t="shared" si="76"/>
        <v>5.5</v>
      </c>
      <c r="U110" s="25"/>
      <c r="V110" s="25">
        <f t="shared" si="76"/>
        <v>-1</v>
      </c>
      <c r="W110" s="25">
        <f t="shared" si="76"/>
        <v>-0.19758064516129031</v>
      </c>
      <c r="X110" s="25"/>
    </row>
    <row r="111" spans="1:24" x14ac:dyDescent="0.25">
      <c r="A111" s="5" t="s">
        <v>158</v>
      </c>
      <c r="B111" s="2">
        <v>208</v>
      </c>
      <c r="C111" s="2">
        <v>-28</v>
      </c>
      <c r="D111" s="2">
        <v>25</v>
      </c>
      <c r="E111" s="2">
        <v>590</v>
      </c>
      <c r="F111" s="2">
        <v>24</v>
      </c>
      <c r="G111" s="2">
        <v>0</v>
      </c>
      <c r="H111" s="2">
        <v>91</v>
      </c>
      <c r="I111" s="2">
        <v>488</v>
      </c>
      <c r="K111" s="25">
        <f t="shared" si="74"/>
        <v>8.4244633454840012E-2</v>
      </c>
      <c r="L111" s="25">
        <f t="shared" si="74"/>
        <v>-5.219985085756898E-3</v>
      </c>
      <c r="M111" s="25">
        <f t="shared" si="74"/>
        <v>5.0720227226617974E-3</v>
      </c>
      <c r="N111" s="25">
        <f t="shared" si="74"/>
        <v>0.1661036036036036</v>
      </c>
      <c r="O111" s="25">
        <f t="shared" si="74"/>
        <v>9.324009324009324E-3</v>
      </c>
      <c r="P111" s="25">
        <f t="shared" si="74"/>
        <v>0</v>
      </c>
      <c r="Q111" s="30"/>
      <c r="R111" s="25"/>
      <c r="S111" s="25">
        <f t="shared" si="44"/>
        <v>3.0192836965294592</v>
      </c>
      <c r="T111" s="25">
        <f t="shared" si="76"/>
        <v>-8.4285714285714288</v>
      </c>
      <c r="U111" s="25">
        <f t="shared" si="76"/>
        <v>-2.12</v>
      </c>
      <c r="V111" s="25">
        <f t="shared" si="76"/>
        <v>-0.9576271186440678</v>
      </c>
      <c r="W111" s="25">
        <f t="shared" si="76"/>
        <v>23.583333333333332</v>
      </c>
      <c r="X111" s="25"/>
    </row>
    <row r="112" spans="1:24" x14ac:dyDescent="0.25">
      <c r="A112" s="5" t="s">
        <v>159</v>
      </c>
      <c r="B112" s="2">
        <v>88</v>
      </c>
      <c r="C112" s="2">
        <v>5014</v>
      </c>
      <c r="D112" s="2">
        <v>0</v>
      </c>
      <c r="E112" s="2">
        <v>1875</v>
      </c>
      <c r="F112" s="2">
        <v>18</v>
      </c>
      <c r="G112" s="2">
        <v>0</v>
      </c>
      <c r="H112" s="2">
        <v>0</v>
      </c>
      <c r="I112" s="2">
        <v>0</v>
      </c>
      <c r="K112" s="25">
        <f t="shared" si="74"/>
        <v>3.5641960307816932E-2</v>
      </c>
      <c r="L112" s="25">
        <f t="shared" si="74"/>
        <v>0.93475018642803875</v>
      </c>
      <c r="M112" s="25">
        <f t="shared" si="74"/>
        <v>0</v>
      </c>
      <c r="N112" s="25">
        <f t="shared" si="74"/>
        <v>0.5278716216216216</v>
      </c>
      <c r="O112" s="25">
        <f t="shared" si="74"/>
        <v>6.993006993006993E-3</v>
      </c>
      <c r="P112" s="25">
        <f t="shared" si="74"/>
        <v>0</v>
      </c>
      <c r="Q112" s="30"/>
      <c r="R112" s="25"/>
      <c r="S112" s="25">
        <f t="shared" si="44"/>
        <v>33.728072508088466</v>
      </c>
      <c r="T112" s="25">
        <f t="shared" si="76"/>
        <v>-0.98244914240127645</v>
      </c>
      <c r="U112" s="25"/>
      <c r="V112" s="25">
        <f t="shared" si="76"/>
        <v>-1</v>
      </c>
      <c r="W112" s="25">
        <f t="shared" si="76"/>
        <v>103.16666666666667</v>
      </c>
      <c r="X112" s="25"/>
    </row>
    <row r="113" spans="1:24" x14ac:dyDescent="0.25">
      <c r="A113" s="5" t="s">
        <v>160</v>
      </c>
      <c r="B113" s="2">
        <v>10</v>
      </c>
      <c r="C113" s="2">
        <v>31</v>
      </c>
      <c r="D113" s="2">
        <v>49</v>
      </c>
      <c r="E113" s="2">
        <v>13</v>
      </c>
      <c r="F113" s="2">
        <v>24</v>
      </c>
      <c r="G113" s="2">
        <v>85</v>
      </c>
      <c r="H113" s="2">
        <v>43</v>
      </c>
      <c r="I113" s="2">
        <v>-76</v>
      </c>
      <c r="K113" s="25">
        <f t="shared" si="74"/>
        <v>4.0502227622519239E-3</v>
      </c>
      <c r="L113" s="25">
        <f t="shared" si="74"/>
        <v>5.779269202087994E-3</v>
      </c>
      <c r="M113" s="25">
        <f t="shared" si="74"/>
        <v>9.9411645364171231E-3</v>
      </c>
      <c r="N113" s="25">
        <f t="shared" si="74"/>
        <v>3.6599099099099098E-3</v>
      </c>
      <c r="O113" s="25">
        <f t="shared" si="74"/>
        <v>9.324009324009324E-3</v>
      </c>
      <c r="P113" s="25">
        <f t="shared" si="74"/>
        <v>0.16966067864271456</v>
      </c>
      <c r="Q113" s="30"/>
      <c r="R113" s="25">
        <f t="shared" si="75"/>
        <v>-0.34819721036856505</v>
      </c>
      <c r="S113" s="25">
        <f t="shared" si="44"/>
        <v>0.10969681669193732</v>
      </c>
      <c r="T113" s="25">
        <f t="shared" si="76"/>
        <v>-0.67741935483870963</v>
      </c>
      <c r="U113" s="25">
        <f t="shared" si="76"/>
        <v>-0.36734693877551022</v>
      </c>
      <c r="V113" s="25">
        <f t="shared" si="76"/>
        <v>2.7692307692307692</v>
      </c>
      <c r="W113" s="25">
        <f t="shared" si="76"/>
        <v>-0.45833333333333331</v>
      </c>
      <c r="X113" s="25">
        <f t="shared" si="76"/>
        <v>-0.71764705882352942</v>
      </c>
    </row>
    <row r="114" spans="1:24" x14ac:dyDescent="0.25">
      <c r="A114" s="2" t="s">
        <v>161</v>
      </c>
      <c r="B114" s="10">
        <f>SUM(B108:B113)</f>
        <v>-1091</v>
      </c>
      <c r="C114" s="10">
        <f t="shared" ref="C114:I114" si="77">SUM(C108:C113)</f>
        <v>4038</v>
      </c>
      <c r="D114" s="10">
        <f t="shared" si="77"/>
        <v>-522</v>
      </c>
      <c r="E114" s="10">
        <f t="shared" si="77"/>
        <v>1511</v>
      </c>
      <c r="F114" s="10">
        <f t="shared" si="77"/>
        <v>288</v>
      </c>
      <c r="G114" s="10">
        <f t="shared" si="77"/>
        <v>1177</v>
      </c>
      <c r="H114" s="10">
        <f t="shared" si="77"/>
        <v>-1113</v>
      </c>
      <c r="I114" s="10">
        <f t="shared" si="77"/>
        <v>-9704</v>
      </c>
      <c r="K114" s="29">
        <f t="shared" si="74"/>
        <v>-0.44187930336168491</v>
      </c>
      <c r="L114" s="29">
        <f t="shared" si="74"/>
        <v>0.75279642058165552</v>
      </c>
      <c r="M114" s="29">
        <f t="shared" si="74"/>
        <v>-0.10590383444917834</v>
      </c>
      <c r="N114" s="29">
        <f t="shared" si="74"/>
        <v>0.42539414414414417</v>
      </c>
      <c r="O114" s="29">
        <f t="shared" si="74"/>
        <v>0.11188811188811189</v>
      </c>
      <c r="P114" s="29">
        <f t="shared" si="74"/>
        <v>2.3493013972055889</v>
      </c>
      <c r="Q114" s="30"/>
      <c r="R114" s="29">
        <f>((B114/G114)^1/5)-1</f>
        <v>-1.1853865760407816</v>
      </c>
      <c r="S114" s="29">
        <f t="shared" si="44"/>
        <v>-1.5720128708089158</v>
      </c>
      <c r="T114" s="29">
        <f t="shared" si="76"/>
        <v>-1.2701832590391282</v>
      </c>
      <c r="U114" s="29">
        <f t="shared" si="76"/>
        <v>-8.7356321839080469</v>
      </c>
      <c r="V114" s="29">
        <f t="shared" si="76"/>
        <v>-1.3454665784248843</v>
      </c>
      <c r="W114" s="29">
        <f t="shared" si="76"/>
        <v>4.2465277777777777</v>
      </c>
      <c r="X114" s="29">
        <f t="shared" si="76"/>
        <v>-0.75531011045029739</v>
      </c>
    </row>
    <row r="115" spans="1:24" x14ac:dyDescent="0.25">
      <c r="A115" s="2" t="s">
        <v>162</v>
      </c>
      <c r="K115" s="25"/>
      <c r="L115" s="25"/>
      <c r="M115" s="25"/>
      <c r="N115" s="25"/>
      <c r="O115" s="25"/>
      <c r="P115" s="25"/>
      <c r="Q115" s="30"/>
      <c r="R115" s="25"/>
      <c r="S115" s="25"/>
      <c r="T115" s="25"/>
      <c r="U115" s="25"/>
      <c r="V115" s="25"/>
      <c r="W115" s="25"/>
      <c r="X115" s="25"/>
    </row>
    <row r="116" spans="1:24" x14ac:dyDescent="0.25">
      <c r="A116" s="5" t="s">
        <v>163</v>
      </c>
      <c r="B116" s="2">
        <v>-1465</v>
      </c>
      <c r="C116" s="2">
        <v>-6202</v>
      </c>
      <c r="D116" s="2">
        <v>-4697</v>
      </c>
      <c r="E116" s="2">
        <v>-4795</v>
      </c>
      <c r="F116" s="2">
        <v>-2713</v>
      </c>
      <c r="G116" s="2">
        <v>-2641</v>
      </c>
      <c r="H116" s="2">
        <v>-86</v>
      </c>
      <c r="I116" s="2">
        <v>-12314</v>
      </c>
      <c r="K116" s="25">
        <f t="shared" ref="K116:K132" si="78">+B116/B$106</f>
        <v>-0.59335763466990687</v>
      </c>
      <c r="L116" s="25">
        <f t="shared" ref="L116:L132" si="79">+C116/C$106</f>
        <v>-1.1562266964951529</v>
      </c>
      <c r="M116" s="25">
        <f t="shared" ref="M116:M132" si="80">+D116/D$106</f>
        <v>-0.95293162913369855</v>
      </c>
      <c r="N116" s="25">
        <f t="shared" ref="N116:N132" si="81">+E116/E$106</f>
        <v>-1.3499436936936937</v>
      </c>
      <c r="O116" s="25">
        <f t="shared" ref="O116:O132" si="82">+F116/F$106</f>
        <v>-1.0540015540015539</v>
      </c>
      <c r="P116" s="25">
        <f t="shared" ref="P116:P132" si="83">+G116/G$106</f>
        <v>-5.2714570858283434</v>
      </c>
      <c r="Q116" s="30"/>
      <c r="R116" s="25">
        <f t="shared" ref="R116:R132" si="84">RATE(5,0,-G116,B116)</f>
        <v>-0.11117994623485696</v>
      </c>
      <c r="S116" s="25">
        <f t="shared" si="44"/>
        <v>6.6174400199464883E-2</v>
      </c>
      <c r="T116" s="25">
        <f t="shared" ref="T116:T127" si="85">(+B116-C116)/C116</f>
        <v>-0.76378587552402455</v>
      </c>
      <c r="U116" s="25">
        <f t="shared" ref="U116:U127" si="86">(+C116-D116)/D116</f>
        <v>0.32041728763040239</v>
      </c>
      <c r="V116" s="25">
        <f t="shared" ref="V116:V127" si="87">(+D116-E116)/E116</f>
        <v>-2.0437956204379562E-2</v>
      </c>
      <c r="W116" s="25">
        <f t="shared" ref="W116:W127" si="88">(+E116-F116)/F116</f>
        <v>0.76741614448949502</v>
      </c>
      <c r="X116" s="25">
        <f t="shared" ref="X116:X127" si="89">(+F116-G116)/G116</f>
        <v>2.7262400605831124E-2</v>
      </c>
    </row>
    <row r="117" spans="1:24" x14ac:dyDescent="0.25">
      <c r="A117" s="5" t="s">
        <v>164</v>
      </c>
      <c r="B117" s="2">
        <v>0</v>
      </c>
      <c r="C117" s="2">
        <v>0</v>
      </c>
      <c r="D117" s="2">
        <v>3500</v>
      </c>
      <c r="E117" s="2">
        <v>2967</v>
      </c>
      <c r="F117" s="2">
        <v>2990</v>
      </c>
      <c r="G117" s="2">
        <v>1496</v>
      </c>
      <c r="H117" s="2">
        <v>6981</v>
      </c>
      <c r="I117" s="2">
        <v>14834</v>
      </c>
      <c r="K117" s="25">
        <f t="shared" si="78"/>
        <v>0</v>
      </c>
      <c r="L117" s="25">
        <f t="shared" si="79"/>
        <v>0</v>
      </c>
      <c r="M117" s="25">
        <f t="shared" si="80"/>
        <v>0.71008318117265168</v>
      </c>
      <c r="N117" s="25">
        <f t="shared" si="81"/>
        <v>0.83530405405405406</v>
      </c>
      <c r="O117" s="25">
        <f t="shared" si="82"/>
        <v>1.1616161616161615</v>
      </c>
      <c r="P117" s="25">
        <f t="shared" si="83"/>
        <v>2.9860279441117763</v>
      </c>
      <c r="Q117" s="30"/>
      <c r="R117" s="25">
        <f t="shared" si="84"/>
        <v>-0.99999940914518248</v>
      </c>
      <c r="S117" s="25">
        <f t="shared" si="44"/>
        <v>4.2653382670779921E-2</v>
      </c>
      <c r="T117" s="25"/>
      <c r="U117" s="25">
        <f t="shared" si="86"/>
        <v>-1</v>
      </c>
      <c r="V117" s="25">
        <f t="shared" si="87"/>
        <v>0.17964273677114931</v>
      </c>
      <c r="W117" s="25">
        <f t="shared" si="88"/>
        <v>-7.6923076923076927E-3</v>
      </c>
      <c r="X117" s="25">
        <f t="shared" si="89"/>
        <v>0.99866310160427807</v>
      </c>
    </row>
    <row r="118" spans="1:24" x14ac:dyDescent="0.25">
      <c r="A118" s="5" t="s">
        <v>165</v>
      </c>
      <c r="B118" s="2">
        <v>10</v>
      </c>
      <c r="C118" s="2">
        <v>-924</v>
      </c>
      <c r="D118" s="2">
        <v>-116</v>
      </c>
      <c r="E118" s="2">
        <v>-99</v>
      </c>
      <c r="F118" s="2">
        <v>0</v>
      </c>
      <c r="G118" s="2">
        <v>0</v>
      </c>
      <c r="H118" s="2">
        <v>-53</v>
      </c>
      <c r="I118" s="2">
        <v>-98</v>
      </c>
      <c r="K118" s="25">
        <f t="shared" si="78"/>
        <v>4.0502227622519239E-3</v>
      </c>
      <c r="L118" s="25">
        <f t="shared" si="79"/>
        <v>-0.17225950782997762</v>
      </c>
      <c r="M118" s="25">
        <f t="shared" si="80"/>
        <v>-2.353418543315074E-2</v>
      </c>
      <c r="N118" s="25">
        <f t="shared" si="81"/>
        <v>-2.7871621621621621E-2</v>
      </c>
      <c r="O118" s="25">
        <f t="shared" si="82"/>
        <v>0</v>
      </c>
      <c r="P118" s="25">
        <f t="shared" si="83"/>
        <v>0</v>
      </c>
      <c r="Q118" s="30"/>
      <c r="R118" s="25"/>
      <c r="S118" s="25">
        <f t="shared" si="44"/>
        <v>2.0421373007579908</v>
      </c>
      <c r="T118" s="25">
        <f t="shared" si="85"/>
        <v>-1.0108225108225108</v>
      </c>
      <c r="U118" s="25">
        <f t="shared" si="86"/>
        <v>6.9655172413793105</v>
      </c>
      <c r="V118" s="25">
        <f t="shared" si="87"/>
        <v>0.17171717171717171</v>
      </c>
      <c r="W118" s="25"/>
      <c r="X118" s="25"/>
    </row>
    <row r="119" spans="1:24" x14ac:dyDescent="0.25">
      <c r="A119" s="5" t="s">
        <v>166</v>
      </c>
      <c r="B119" s="2">
        <v>0</v>
      </c>
      <c r="C119" s="2">
        <v>0</v>
      </c>
      <c r="D119" s="2">
        <v>4000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K119" s="25">
        <f t="shared" si="78"/>
        <v>0</v>
      </c>
      <c r="L119" s="25">
        <f t="shared" si="79"/>
        <v>0</v>
      </c>
      <c r="M119" s="25">
        <f t="shared" si="80"/>
        <v>0.81152363562588758</v>
      </c>
      <c r="N119" s="25">
        <f t="shared" si="81"/>
        <v>0</v>
      </c>
      <c r="O119" s="25">
        <f t="shared" si="82"/>
        <v>0</v>
      </c>
      <c r="P119" s="25">
        <f t="shared" si="83"/>
        <v>0</v>
      </c>
      <c r="Q119" s="30"/>
      <c r="R119" s="25"/>
      <c r="S119" s="25">
        <f t="shared" si="44"/>
        <v>-1</v>
      </c>
      <c r="T119" s="25"/>
      <c r="U119" s="25">
        <f t="shared" si="86"/>
        <v>-1</v>
      </c>
      <c r="V119" s="25"/>
      <c r="W119" s="25"/>
      <c r="X119" s="25"/>
    </row>
    <row r="120" spans="1:24" x14ac:dyDescent="0.25">
      <c r="A120" s="5" t="s">
        <v>167</v>
      </c>
      <c r="B120" s="2">
        <v>0</v>
      </c>
      <c r="C120" s="2">
        <v>0</v>
      </c>
      <c r="D120" s="2">
        <v>-4000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K120" s="25">
        <f t="shared" si="78"/>
        <v>0</v>
      </c>
      <c r="L120" s="25">
        <f t="shared" si="79"/>
        <v>0</v>
      </c>
      <c r="M120" s="25">
        <f t="shared" si="80"/>
        <v>-0.81152363562588758</v>
      </c>
      <c r="N120" s="25">
        <f t="shared" si="81"/>
        <v>0</v>
      </c>
      <c r="O120" s="25">
        <f t="shared" si="82"/>
        <v>0</v>
      </c>
      <c r="P120" s="25">
        <f t="shared" si="83"/>
        <v>0</v>
      </c>
      <c r="Q120" s="30"/>
      <c r="R120" s="25"/>
      <c r="S120" s="25">
        <f t="shared" si="44"/>
        <v>-1</v>
      </c>
      <c r="T120" s="25"/>
      <c r="U120" s="25">
        <f t="shared" si="86"/>
        <v>-1</v>
      </c>
      <c r="V120" s="25"/>
      <c r="W120" s="25"/>
      <c r="X120" s="25"/>
    </row>
    <row r="121" spans="1:24" x14ac:dyDescent="0.25">
      <c r="A121" s="5" t="s">
        <v>168</v>
      </c>
      <c r="B121" s="2">
        <v>228</v>
      </c>
      <c r="C121" s="2">
        <v>0</v>
      </c>
      <c r="D121" s="2">
        <v>0</v>
      </c>
      <c r="E121" s="2">
        <v>557</v>
      </c>
      <c r="F121" s="2">
        <v>2784</v>
      </c>
      <c r="G121" s="2">
        <v>6043</v>
      </c>
      <c r="H121" s="2">
        <v>6680</v>
      </c>
      <c r="I121" s="2">
        <v>0</v>
      </c>
      <c r="K121" s="25">
        <f t="shared" si="78"/>
        <v>9.2345078979343867E-2</v>
      </c>
      <c r="L121" s="25">
        <f t="shared" si="79"/>
        <v>0</v>
      </c>
      <c r="M121" s="25">
        <f t="shared" si="80"/>
        <v>0</v>
      </c>
      <c r="N121" s="25">
        <f t="shared" si="81"/>
        <v>0.15681306306306306</v>
      </c>
      <c r="O121" s="25">
        <f t="shared" si="82"/>
        <v>1.0815850815850816</v>
      </c>
      <c r="P121" s="25">
        <f t="shared" si="83"/>
        <v>12.061876247504991</v>
      </c>
      <c r="Q121" s="30"/>
      <c r="R121" s="25">
        <f t="shared" si="84"/>
        <v>-0.48079788783255906</v>
      </c>
      <c r="S121" s="25">
        <f t="shared" si="44"/>
        <v>-0.77974327742494243</v>
      </c>
      <c r="T121" s="25"/>
      <c r="U121" s="25"/>
      <c r="V121" s="25">
        <f t="shared" si="87"/>
        <v>-1</v>
      </c>
      <c r="W121" s="25">
        <f t="shared" si="88"/>
        <v>-0.79992816091954022</v>
      </c>
      <c r="X121" s="25">
        <f t="shared" si="89"/>
        <v>-0.53930167135528706</v>
      </c>
    </row>
    <row r="122" spans="1:24" x14ac:dyDescent="0.25">
      <c r="A122" s="5" t="s">
        <v>169</v>
      </c>
      <c r="B122" s="2">
        <v>-228</v>
      </c>
      <c r="C122" s="2">
        <v>0</v>
      </c>
      <c r="D122" s="2">
        <v>0</v>
      </c>
      <c r="E122" s="2">
        <v>-557</v>
      </c>
      <c r="F122" s="2">
        <v>-3213</v>
      </c>
      <c r="G122" s="2">
        <v>-6249</v>
      </c>
      <c r="H122" s="2">
        <v>-6043</v>
      </c>
      <c r="I122" s="2">
        <v>0</v>
      </c>
      <c r="K122" s="25">
        <f t="shared" si="78"/>
        <v>-9.2345078979343867E-2</v>
      </c>
      <c r="L122" s="25">
        <f t="shared" si="79"/>
        <v>0</v>
      </c>
      <c r="M122" s="25">
        <f t="shared" si="80"/>
        <v>0</v>
      </c>
      <c r="N122" s="25">
        <f t="shared" si="81"/>
        <v>-0.15681306306306306</v>
      </c>
      <c r="O122" s="25">
        <f t="shared" si="82"/>
        <v>-1.2482517482517483</v>
      </c>
      <c r="P122" s="25">
        <f t="shared" si="83"/>
        <v>-12.473053892215569</v>
      </c>
      <c r="Q122" s="30"/>
      <c r="R122" s="25">
        <f t="shared" si="84"/>
        <v>-0.48426706751700083</v>
      </c>
      <c r="S122" s="25">
        <f t="shared" si="44"/>
        <v>-0.77082650061856139</v>
      </c>
      <c r="T122" s="25"/>
      <c r="U122" s="25"/>
      <c r="V122" s="25">
        <f t="shared" si="87"/>
        <v>-1</v>
      </c>
      <c r="W122" s="25">
        <f t="shared" si="88"/>
        <v>-0.82664176781823839</v>
      </c>
      <c r="X122" s="25">
        <f t="shared" si="89"/>
        <v>-0.48583773403744601</v>
      </c>
    </row>
    <row r="123" spans="1:24" x14ac:dyDescent="0.25">
      <c r="A123" s="5" t="s">
        <v>170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10000</v>
      </c>
      <c r="K123" s="25">
        <f t="shared" si="78"/>
        <v>0</v>
      </c>
      <c r="L123" s="25">
        <f t="shared" si="79"/>
        <v>0</v>
      </c>
      <c r="M123" s="25">
        <f t="shared" si="80"/>
        <v>0</v>
      </c>
      <c r="N123" s="25">
        <f t="shared" si="81"/>
        <v>0</v>
      </c>
      <c r="O123" s="25">
        <f t="shared" si="82"/>
        <v>0</v>
      </c>
      <c r="P123" s="25">
        <f t="shared" si="83"/>
        <v>0</v>
      </c>
      <c r="Q123" s="30"/>
      <c r="R123" s="25"/>
      <c r="S123" s="25"/>
      <c r="T123" s="25"/>
      <c r="U123" s="25"/>
      <c r="V123" s="25"/>
      <c r="W123" s="25"/>
      <c r="X123" s="25"/>
    </row>
    <row r="124" spans="1:24" x14ac:dyDescent="0.25">
      <c r="A124" s="5" t="s">
        <v>171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-180</v>
      </c>
      <c r="I124" s="2">
        <v>-900</v>
      </c>
      <c r="K124" s="25">
        <f t="shared" si="78"/>
        <v>0</v>
      </c>
      <c r="L124" s="25">
        <f t="shared" si="79"/>
        <v>0</v>
      </c>
      <c r="M124" s="25">
        <f t="shared" si="80"/>
        <v>0</v>
      </c>
      <c r="N124" s="25">
        <f t="shared" si="81"/>
        <v>0</v>
      </c>
      <c r="O124" s="25">
        <f t="shared" si="82"/>
        <v>0</v>
      </c>
      <c r="P124" s="25">
        <f t="shared" si="83"/>
        <v>0</v>
      </c>
      <c r="Q124" s="30"/>
      <c r="R124" s="25"/>
      <c r="S124" s="25"/>
      <c r="T124" s="25"/>
      <c r="U124" s="25"/>
      <c r="V124" s="25"/>
      <c r="W124" s="25"/>
      <c r="X124" s="25"/>
    </row>
    <row r="125" spans="1:24" x14ac:dyDescent="0.25">
      <c r="A125" s="5" t="s">
        <v>172</v>
      </c>
      <c r="B125" s="2">
        <v>-1960</v>
      </c>
      <c r="C125" s="2">
        <v>-1959</v>
      </c>
      <c r="D125" s="2">
        <v>-1958</v>
      </c>
      <c r="E125" s="2">
        <v>-1953</v>
      </c>
      <c r="F125" s="2">
        <v>-3183</v>
      </c>
      <c r="G125" s="2">
        <v>-2888</v>
      </c>
      <c r="H125" s="2">
        <v>-3584</v>
      </c>
      <c r="I125" s="2">
        <v>-1302</v>
      </c>
      <c r="K125" s="25">
        <f t="shared" si="78"/>
        <v>-0.79384366140137708</v>
      </c>
      <c r="L125" s="25">
        <f t="shared" si="79"/>
        <v>-0.36521252796420584</v>
      </c>
      <c r="M125" s="25">
        <f t="shared" si="80"/>
        <v>-0.39724081963887198</v>
      </c>
      <c r="N125" s="25">
        <f t="shared" si="81"/>
        <v>-0.54983108108108103</v>
      </c>
      <c r="O125" s="25">
        <f t="shared" si="82"/>
        <v>-1.2365967365967365</v>
      </c>
      <c r="P125" s="25">
        <f t="shared" si="83"/>
        <v>-5.764471057884232</v>
      </c>
      <c r="Q125" s="30"/>
      <c r="R125" s="25">
        <f t="shared" si="84"/>
        <v>-7.4595138905815289E-2</v>
      </c>
      <c r="S125" s="25">
        <f t="shared" si="44"/>
        <v>-5.6139946040355194E-2</v>
      </c>
      <c r="T125" s="25">
        <f t="shared" si="85"/>
        <v>5.1046452271567128E-4</v>
      </c>
      <c r="U125" s="25">
        <f t="shared" si="86"/>
        <v>5.1072522982635344E-4</v>
      </c>
      <c r="V125" s="25">
        <f t="shared" si="87"/>
        <v>2.5601638504864311E-3</v>
      </c>
      <c r="W125" s="25">
        <f t="shared" si="88"/>
        <v>-0.38642789820923656</v>
      </c>
      <c r="X125" s="25">
        <f t="shared" si="89"/>
        <v>0.10214681440443213</v>
      </c>
    </row>
    <row r="126" spans="1:24" x14ac:dyDescent="0.25">
      <c r="A126" s="5" t="s">
        <v>173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-8320</v>
      </c>
      <c r="I126" s="2">
        <v>0</v>
      </c>
      <c r="K126" s="25">
        <f t="shared" si="78"/>
        <v>0</v>
      </c>
      <c r="L126" s="25">
        <f t="shared" si="79"/>
        <v>0</v>
      </c>
      <c r="M126" s="25">
        <f t="shared" si="80"/>
        <v>0</v>
      </c>
      <c r="N126" s="25">
        <f t="shared" si="81"/>
        <v>0</v>
      </c>
      <c r="O126" s="25">
        <f t="shared" si="82"/>
        <v>0</v>
      </c>
      <c r="P126" s="25">
        <f t="shared" si="83"/>
        <v>0</v>
      </c>
      <c r="Q126" s="30"/>
      <c r="R126" s="25"/>
      <c r="S126" s="25"/>
      <c r="T126" s="25"/>
      <c r="U126" s="25"/>
      <c r="V126" s="25"/>
      <c r="W126" s="25"/>
      <c r="X126" s="25"/>
    </row>
    <row r="127" spans="1:24" x14ac:dyDescent="0.25">
      <c r="A127" s="5" t="s">
        <v>174</v>
      </c>
      <c r="B127" s="2">
        <v>-299</v>
      </c>
      <c r="C127" s="2">
        <v>-259</v>
      </c>
      <c r="D127" s="2">
        <v>-60</v>
      </c>
      <c r="E127" s="2">
        <v>-33</v>
      </c>
      <c r="F127" s="2">
        <v>-28</v>
      </c>
      <c r="G127" s="2">
        <v>18</v>
      </c>
      <c r="H127" s="2">
        <v>-16</v>
      </c>
      <c r="I127" s="2">
        <v>-37</v>
      </c>
      <c r="K127" s="25">
        <f t="shared" si="78"/>
        <v>-0.12110166059133252</v>
      </c>
      <c r="L127" s="25">
        <f t="shared" si="79"/>
        <v>-4.8284862043251303E-2</v>
      </c>
      <c r="M127" s="25">
        <f t="shared" si="80"/>
        <v>-1.2172854534388313E-2</v>
      </c>
      <c r="N127" s="25">
        <f t="shared" si="81"/>
        <v>-9.2905405405405411E-3</v>
      </c>
      <c r="O127" s="25">
        <f t="shared" si="82"/>
        <v>-1.0878010878010878E-2</v>
      </c>
      <c r="P127" s="25">
        <f t="shared" si="83"/>
        <v>3.5928143712574849E-2</v>
      </c>
      <c r="Q127" s="30"/>
      <c r="R127" s="25">
        <f>((B127/G127)^1/5)-1</f>
        <v>-4.322222222222222</v>
      </c>
      <c r="S127" s="25">
        <f t="shared" si="44"/>
        <v>0.38246090246090264</v>
      </c>
      <c r="T127" s="25">
        <f t="shared" si="85"/>
        <v>0.15444015444015444</v>
      </c>
      <c r="U127" s="25">
        <f t="shared" si="86"/>
        <v>3.3166666666666669</v>
      </c>
      <c r="V127" s="25">
        <f t="shared" si="87"/>
        <v>0.81818181818181823</v>
      </c>
      <c r="W127" s="25">
        <f t="shared" si="88"/>
        <v>0.17857142857142858</v>
      </c>
      <c r="X127" s="25">
        <f t="shared" si="89"/>
        <v>-2.5555555555555554</v>
      </c>
    </row>
    <row r="128" spans="1:24" x14ac:dyDescent="0.25">
      <c r="A128" s="2" t="s">
        <v>175</v>
      </c>
      <c r="B128" s="10">
        <f>SUM(B116:B127)</f>
        <v>-3714</v>
      </c>
      <c r="C128" s="10">
        <f t="shared" ref="C128:G128" si="90">SUM(C116:C127)</f>
        <v>-9344</v>
      </c>
      <c r="D128" s="10">
        <f t="shared" si="90"/>
        <v>-3331</v>
      </c>
      <c r="E128" s="10">
        <f t="shared" si="90"/>
        <v>-3913</v>
      </c>
      <c r="F128" s="10">
        <f t="shared" si="90"/>
        <v>-3363</v>
      </c>
      <c r="G128" s="10">
        <f t="shared" si="90"/>
        <v>-4221</v>
      </c>
      <c r="H128" s="10">
        <f t="shared" ref="H128:I128" si="91">SUM(H116:H127)</f>
        <v>-4621</v>
      </c>
      <c r="I128" s="10">
        <f t="shared" si="91"/>
        <v>10183</v>
      </c>
      <c r="K128" s="29">
        <f t="shared" si="78"/>
        <v>-1.5042527339003646</v>
      </c>
      <c r="L128" s="29">
        <f t="shared" si="79"/>
        <v>-1.7419835943325876</v>
      </c>
      <c r="M128" s="29">
        <f t="shared" si="80"/>
        <v>-0.6757963075674579</v>
      </c>
      <c r="N128" s="29">
        <f t="shared" si="81"/>
        <v>-1.101632882882883</v>
      </c>
      <c r="O128" s="29">
        <f t="shared" si="82"/>
        <v>-1.3065268065268065</v>
      </c>
      <c r="P128" s="29">
        <f t="shared" si="83"/>
        <v>-8.4251497005988032</v>
      </c>
      <c r="Q128" s="30"/>
      <c r="R128" s="29">
        <f t="shared" si="84"/>
        <v>-2.5267808183075099E-2</v>
      </c>
      <c r="S128" s="29">
        <f t="shared" ref="S128:S132" si="92">AVERAGE(T128:X128)</f>
        <v>0.20283560611242665</v>
      </c>
      <c r="T128" s="29">
        <f t="shared" ref="T128:T132" si="93">(+B128-C128)/C128</f>
        <v>-0.60252568493150682</v>
      </c>
      <c r="U128" s="29">
        <f t="shared" ref="U128:U132" si="94">(+C128-D128)/D128</f>
        <v>1.805163614530171</v>
      </c>
      <c r="V128" s="29">
        <f t="shared" ref="V128:V132" si="95">(+D128-E128)/E128</f>
        <v>-0.14873498594428827</v>
      </c>
      <c r="W128" s="29">
        <f t="shared" ref="W128:W132" si="96">(+E128-F128)/F128</f>
        <v>0.16354445435622955</v>
      </c>
      <c r="X128" s="29">
        <f t="shared" ref="X128:X132" si="97">(+F128-G128)/G128</f>
        <v>-0.20326936744847193</v>
      </c>
    </row>
    <row r="129" spans="1:24" x14ac:dyDescent="0.25">
      <c r="A129" s="2" t="s">
        <v>176</v>
      </c>
      <c r="B129" s="2">
        <v>-69</v>
      </c>
      <c r="C129" s="2">
        <v>-30</v>
      </c>
      <c r="D129" s="2">
        <v>62</v>
      </c>
      <c r="E129" s="2">
        <v>-6</v>
      </c>
      <c r="F129" s="2">
        <v>-132</v>
      </c>
      <c r="G129" s="2">
        <v>57</v>
      </c>
      <c r="H129" s="2">
        <v>-137</v>
      </c>
      <c r="I129" s="2">
        <v>-407</v>
      </c>
      <c r="K129" s="29">
        <f t="shared" si="78"/>
        <v>-2.7946537059538274E-2</v>
      </c>
      <c r="L129" s="29">
        <f t="shared" si="79"/>
        <v>-5.5928411633109623E-3</v>
      </c>
      <c r="M129" s="29">
        <f t="shared" si="80"/>
        <v>1.2578616352201259E-2</v>
      </c>
      <c r="N129" s="29">
        <f t="shared" si="81"/>
        <v>-1.6891891891891893E-3</v>
      </c>
      <c r="O129" s="29">
        <f t="shared" si="82"/>
        <v>-5.128205128205128E-2</v>
      </c>
      <c r="P129" s="29">
        <f t="shared" si="83"/>
        <v>0.11377245508982035</v>
      </c>
      <c r="Q129" s="30"/>
      <c r="R129" s="29">
        <f>((B129/G129)^1/5)-1</f>
        <v>-1.2421052631578948</v>
      </c>
      <c r="S129" s="29">
        <f t="shared" si="92"/>
        <v>-3.1575078458609869</v>
      </c>
      <c r="T129" s="29">
        <f t="shared" si="93"/>
        <v>1.3</v>
      </c>
      <c r="U129" s="29">
        <f t="shared" si="94"/>
        <v>-1.4838709677419355</v>
      </c>
      <c r="V129" s="29">
        <f t="shared" si="95"/>
        <v>-11.333333333333334</v>
      </c>
      <c r="W129" s="29">
        <f t="shared" si="96"/>
        <v>-0.95454545454545459</v>
      </c>
      <c r="X129" s="29">
        <f t="shared" si="97"/>
        <v>-3.3157894736842106</v>
      </c>
    </row>
    <row r="130" spans="1:24" x14ac:dyDescent="0.25">
      <c r="A130" s="2" t="s">
        <v>177</v>
      </c>
      <c r="B130" s="6">
        <f>+B129+B128+B114+B106</f>
        <v>-2405</v>
      </c>
      <c r="C130" s="6">
        <f t="shared" ref="C130:G130" si="98">+C129+C128+C114+C106</f>
        <v>28</v>
      </c>
      <c r="D130" s="6">
        <f t="shared" si="98"/>
        <v>1138</v>
      </c>
      <c r="E130" s="6">
        <f t="shared" si="98"/>
        <v>1144</v>
      </c>
      <c r="F130" s="6">
        <f t="shared" si="98"/>
        <v>-633</v>
      </c>
      <c r="G130" s="6">
        <f t="shared" si="98"/>
        <v>-2486</v>
      </c>
      <c r="H130" s="6">
        <f t="shared" ref="H130:I130" si="99">+H129+H128+H114+H106</f>
        <v>-633</v>
      </c>
      <c r="I130" s="6">
        <f t="shared" si="99"/>
        <v>2539</v>
      </c>
      <c r="K130" s="25">
        <f t="shared" si="78"/>
        <v>-0.97407857432158773</v>
      </c>
      <c r="L130" s="25">
        <f t="shared" si="79"/>
        <v>5.219985085756898E-3</v>
      </c>
      <c r="M130" s="25">
        <f t="shared" si="80"/>
        <v>0.23087847433556502</v>
      </c>
      <c r="N130" s="25">
        <f t="shared" si="81"/>
        <v>0.32207207207207206</v>
      </c>
      <c r="O130" s="25">
        <f t="shared" si="82"/>
        <v>-0.24592074592074592</v>
      </c>
      <c r="P130" s="25">
        <f t="shared" si="83"/>
        <v>-4.9620758483033933</v>
      </c>
      <c r="Q130" s="30"/>
      <c r="R130" s="25">
        <f t="shared" si="84"/>
        <v>-6.6031208578273834E-3</v>
      </c>
      <c r="S130" s="25">
        <f t="shared" si="92"/>
        <v>-18.285227681247186</v>
      </c>
      <c r="T130" s="25">
        <f t="shared" si="93"/>
        <v>-86.892857142857139</v>
      </c>
      <c r="U130" s="25">
        <f t="shared" si="94"/>
        <v>-0.97539543057996481</v>
      </c>
      <c r="V130" s="25">
        <f t="shared" si="95"/>
        <v>-5.244755244755245E-3</v>
      </c>
      <c r="W130" s="25">
        <f t="shared" si="96"/>
        <v>-2.807266982622433</v>
      </c>
      <c r="X130" s="25">
        <f t="shared" si="97"/>
        <v>-0.7453740949316171</v>
      </c>
    </row>
    <row r="131" spans="1:24" x14ac:dyDescent="0.25">
      <c r="A131" s="2" t="s">
        <v>178</v>
      </c>
      <c r="B131" s="2">
        <f>+C132</f>
        <v>3446</v>
      </c>
      <c r="C131" s="2">
        <f t="shared" ref="C131:E131" si="100">+D132</f>
        <v>3418</v>
      </c>
      <c r="D131" s="2">
        <v>2280</v>
      </c>
      <c r="E131" s="2">
        <f t="shared" si="100"/>
        <v>1136</v>
      </c>
      <c r="F131" s="2">
        <v>1769</v>
      </c>
      <c r="G131" s="19">
        <v>4255</v>
      </c>
      <c r="H131" s="19">
        <f>+I132</f>
        <v>4837</v>
      </c>
      <c r="I131" s="2">
        <v>2298</v>
      </c>
      <c r="K131" s="25">
        <f t="shared" si="78"/>
        <v>1.3957067638720129</v>
      </c>
      <c r="L131" s="25">
        <f t="shared" si="79"/>
        <v>0.63721103653989564</v>
      </c>
      <c r="M131" s="25">
        <f t="shared" si="80"/>
        <v>0.46256847230675591</v>
      </c>
      <c r="N131" s="25">
        <f t="shared" si="81"/>
        <v>0.31981981981981983</v>
      </c>
      <c r="O131" s="25">
        <f t="shared" si="82"/>
        <v>0.68725718725718721</v>
      </c>
      <c r="P131" s="25">
        <f t="shared" si="83"/>
        <v>8.4930139720558877</v>
      </c>
      <c r="Q131" s="30"/>
      <c r="R131" s="25">
        <f t="shared" si="84"/>
        <v>-4.1299085289094761E-2</v>
      </c>
      <c r="S131" s="25">
        <f t="shared" si="92"/>
        <v>0.11445477690487413</v>
      </c>
      <c r="T131" s="25">
        <f t="shared" si="93"/>
        <v>8.1919251023990641E-3</v>
      </c>
      <c r="U131" s="25">
        <f t="shared" si="94"/>
        <v>0.49912280701754386</v>
      </c>
      <c r="V131" s="25">
        <f t="shared" si="95"/>
        <v>1.0070422535211268</v>
      </c>
      <c r="W131" s="25">
        <f t="shared" si="96"/>
        <v>-0.35782928208027132</v>
      </c>
      <c r="X131" s="25">
        <f t="shared" si="97"/>
        <v>-0.5842538190364277</v>
      </c>
    </row>
    <row r="132" spans="1:24" ht="15.75" thickBot="1" x14ac:dyDescent="0.3">
      <c r="A132" s="2" t="s">
        <v>179</v>
      </c>
      <c r="B132" s="9">
        <f>+B131+B130</f>
        <v>1041</v>
      </c>
      <c r="C132" s="9">
        <f t="shared" ref="C132:G132" si="101">+C131+C130</f>
        <v>3446</v>
      </c>
      <c r="D132" s="9">
        <f t="shared" si="101"/>
        <v>3418</v>
      </c>
      <c r="E132" s="9">
        <f t="shared" si="101"/>
        <v>2280</v>
      </c>
      <c r="F132" s="9">
        <f t="shared" si="101"/>
        <v>1136</v>
      </c>
      <c r="G132" s="74">
        <f t="shared" si="101"/>
        <v>1769</v>
      </c>
      <c r="H132" s="74">
        <f t="shared" ref="H132:I132" si="102">+H131+H130</f>
        <v>4204</v>
      </c>
      <c r="I132" s="9">
        <f t="shared" si="102"/>
        <v>4837</v>
      </c>
      <c r="K132" s="28">
        <f t="shared" si="78"/>
        <v>0.42162818955042525</v>
      </c>
      <c r="L132" s="28">
        <f t="shared" si="79"/>
        <v>0.64243102162565247</v>
      </c>
      <c r="M132" s="28">
        <f t="shared" si="80"/>
        <v>0.69344694664232098</v>
      </c>
      <c r="N132" s="28">
        <f t="shared" si="81"/>
        <v>0.64189189189189189</v>
      </c>
      <c r="O132" s="28">
        <f t="shared" si="82"/>
        <v>0.44133644133644134</v>
      </c>
      <c r="P132" s="28">
        <f t="shared" si="83"/>
        <v>3.5309381237524948</v>
      </c>
      <c r="Q132" s="30"/>
      <c r="R132" s="28">
        <f t="shared" si="84"/>
        <v>-0.10061719678040582</v>
      </c>
      <c r="S132" s="28">
        <f t="shared" si="92"/>
        <v>9.1723416510186367E-2</v>
      </c>
      <c r="T132" s="28">
        <f t="shared" si="93"/>
        <v>-0.69791062100986656</v>
      </c>
      <c r="U132" s="28">
        <f t="shared" si="94"/>
        <v>8.1919251023990641E-3</v>
      </c>
      <c r="V132" s="28">
        <f t="shared" si="95"/>
        <v>0.49912280701754386</v>
      </c>
      <c r="W132" s="28">
        <f t="shared" si="96"/>
        <v>1.0070422535211268</v>
      </c>
      <c r="X132" s="28">
        <f t="shared" si="97"/>
        <v>-0.35782928208027132</v>
      </c>
    </row>
    <row r="133" spans="1:24" ht="15.75" thickTop="1" x14ac:dyDescent="0.25">
      <c r="A133" s="3" t="s">
        <v>180</v>
      </c>
      <c r="B133" s="2">
        <f>+B132-B6</f>
        <v>1</v>
      </c>
      <c r="C133" s="2">
        <f t="shared" ref="C133:G133" si="103">+C132-C6</f>
        <v>1</v>
      </c>
      <c r="D133" s="2">
        <f t="shared" si="103"/>
        <v>1</v>
      </c>
      <c r="E133" s="2">
        <f t="shared" si="103"/>
        <v>1</v>
      </c>
      <c r="F133" s="2">
        <f t="shared" si="103"/>
        <v>6</v>
      </c>
      <c r="G133" s="2">
        <f t="shared" si="103"/>
        <v>140</v>
      </c>
      <c r="Q133" s="30"/>
    </row>
    <row r="135" spans="1:24" x14ac:dyDescent="0.25">
      <c r="A135" s="2" t="s">
        <v>181</v>
      </c>
      <c r="B135" s="8">
        <v>937</v>
      </c>
      <c r="C135" s="8">
        <v>1196</v>
      </c>
      <c r="D135" s="8">
        <v>1286</v>
      </c>
      <c r="E135" s="8">
        <v>1306</v>
      </c>
      <c r="F135" s="8">
        <v>1322</v>
      </c>
      <c r="G135" s="8">
        <v>1269</v>
      </c>
      <c r="H135" s="8">
        <v>1176</v>
      </c>
      <c r="I135" s="8">
        <v>704</v>
      </c>
    </row>
    <row r="136" spans="1:24" x14ac:dyDescent="0.25">
      <c r="A136" s="2" t="s">
        <v>182</v>
      </c>
      <c r="B136" s="2">
        <v>1260</v>
      </c>
      <c r="C136" s="2">
        <v>1295</v>
      </c>
      <c r="D136" s="2">
        <v>1027</v>
      </c>
      <c r="E136" s="2">
        <v>974</v>
      </c>
      <c r="F136" s="2">
        <v>543</v>
      </c>
      <c r="G136" s="2">
        <v>1206</v>
      </c>
      <c r="H136" s="2">
        <v>1619</v>
      </c>
      <c r="I136" s="2">
        <v>557</v>
      </c>
    </row>
    <row r="137" spans="1:24" x14ac:dyDescent="0.25">
      <c r="A137" s="2" t="s">
        <v>183</v>
      </c>
      <c r="B137" s="8">
        <v>173</v>
      </c>
      <c r="C137" s="8">
        <v>176</v>
      </c>
      <c r="D137" s="8">
        <v>173</v>
      </c>
      <c r="E137" s="8">
        <v>191</v>
      </c>
      <c r="F137" s="8">
        <v>200</v>
      </c>
      <c r="G137" s="8">
        <v>244</v>
      </c>
      <c r="H137" s="8">
        <f>+G137</f>
        <v>244</v>
      </c>
      <c r="I137" s="8">
        <f>+H137</f>
        <v>244</v>
      </c>
    </row>
    <row r="139" spans="1:24" s="53" customFormat="1" x14ac:dyDescent="0.25">
      <c r="A139" s="66" t="str">
        <f>+A1</f>
        <v>Kraft Heinz Company</v>
      </c>
      <c r="B139" s="66" t="str">
        <f>+B1</f>
        <v>As reported</v>
      </c>
      <c r="C139" s="66"/>
      <c r="D139" s="66"/>
      <c r="E139" s="66"/>
      <c r="F139" s="66"/>
      <c r="G139" s="66"/>
      <c r="H139" s="66"/>
      <c r="I139" s="66"/>
    </row>
    <row r="140" spans="1:24" s="53" customFormat="1" x14ac:dyDescent="0.25">
      <c r="A140" s="66" t="s">
        <v>184</v>
      </c>
      <c r="B140" s="66"/>
      <c r="C140" s="66"/>
      <c r="D140" s="66"/>
      <c r="E140" s="66"/>
      <c r="F140" s="66"/>
      <c r="G140" s="66"/>
      <c r="H140" s="66"/>
      <c r="I140" s="66"/>
    </row>
    <row r="141" spans="1:24" s="53" customFormat="1" x14ac:dyDescent="0.25">
      <c r="A141" s="66" t="str">
        <f>+A3</f>
        <v>in millions except per share data</v>
      </c>
      <c r="B141" s="66"/>
      <c r="C141" s="66"/>
      <c r="D141" s="66"/>
      <c r="E141" s="66"/>
      <c r="F141" s="66" t="s">
        <v>65</v>
      </c>
      <c r="G141" s="72" t="s">
        <v>66</v>
      </c>
      <c r="H141" s="67"/>
      <c r="I141" s="67"/>
    </row>
    <row r="142" spans="1:24" s="53" customFormat="1" ht="15.75" thickBot="1" x14ac:dyDescent="0.3">
      <c r="A142" s="67" t="str">
        <f>+A4</f>
        <v>Fiscal year ended 12/31</v>
      </c>
      <c r="B142" s="68">
        <v>2022</v>
      </c>
      <c r="C142" s="68">
        <v>2021</v>
      </c>
      <c r="D142" s="69">
        <v>2020</v>
      </c>
      <c r="E142" s="69">
        <v>2019</v>
      </c>
      <c r="F142" s="69">
        <v>2018</v>
      </c>
      <c r="G142" s="69">
        <v>2017</v>
      </c>
      <c r="H142" s="69">
        <v>2016</v>
      </c>
      <c r="I142" s="69">
        <v>2015</v>
      </c>
    </row>
    <row r="143" spans="1:24" s="20" customFormat="1" x14ac:dyDescent="0.25">
      <c r="A143" s="20" t="s">
        <v>185</v>
      </c>
      <c r="B143" s="23">
        <v>945</v>
      </c>
      <c r="C143" s="23">
        <v>1039</v>
      </c>
      <c r="D143" s="23">
        <v>1070</v>
      </c>
      <c r="E143" s="23">
        <v>1100</v>
      </c>
      <c r="F143" s="23">
        <v>1140</v>
      </c>
      <c r="G143" s="23">
        <v>1115</v>
      </c>
      <c r="H143" s="23"/>
      <c r="I143" s="23"/>
    </row>
    <row r="144" spans="1:24" s="20" customFormat="1" x14ac:dyDescent="0.25">
      <c r="A144" s="20" t="s">
        <v>186</v>
      </c>
      <c r="B144" s="22">
        <v>127</v>
      </c>
      <c r="C144" s="22">
        <v>140</v>
      </c>
      <c r="D144" s="22">
        <v>119</v>
      </c>
      <c r="E144" s="22">
        <v>112</v>
      </c>
      <c r="F144" s="22">
        <v>109</v>
      </c>
      <c r="G144" s="22">
        <v>93</v>
      </c>
      <c r="H144" s="22"/>
      <c r="I144" s="22"/>
    </row>
    <row r="145" spans="1:9" s="20" customFormat="1" x14ac:dyDescent="0.25">
      <c r="B145" s="21"/>
      <c r="C145" s="21"/>
      <c r="D145" s="21"/>
      <c r="E145" s="21"/>
      <c r="F145" s="21"/>
      <c r="G145" s="21"/>
      <c r="H145" s="21"/>
      <c r="I145" s="21"/>
    </row>
    <row r="146" spans="1:9" x14ac:dyDescent="0.25">
      <c r="A146" s="2" t="s">
        <v>187</v>
      </c>
      <c r="B146" s="8">
        <v>200</v>
      </c>
      <c r="C146" s="8">
        <v>207</v>
      </c>
      <c r="D146" s="8">
        <v>219</v>
      </c>
      <c r="E146" s="8">
        <v>210</v>
      </c>
      <c r="F146" s="8">
        <v>218</v>
      </c>
      <c r="G146" s="8">
        <v>250</v>
      </c>
      <c r="H146" s="8"/>
      <c r="I146" s="8"/>
    </row>
    <row r="147" spans="1:9" x14ac:dyDescent="0.25">
      <c r="A147" s="2" t="s">
        <v>188</v>
      </c>
      <c r="B147" s="2">
        <v>1161</v>
      </c>
      <c r="C147" s="2">
        <v>1002</v>
      </c>
      <c r="D147" s="2">
        <v>792</v>
      </c>
      <c r="E147" s="2">
        <v>1033</v>
      </c>
      <c r="F147" s="2">
        <v>1165</v>
      </c>
      <c r="G147" s="2">
        <v>1345</v>
      </c>
    </row>
    <row r="148" spans="1:9" x14ac:dyDescent="0.25">
      <c r="A148" s="2" t="s">
        <v>189</v>
      </c>
      <c r="B148" s="2">
        <f>+B149-B147-B146</f>
        <v>9591</v>
      </c>
      <c r="C148" s="2">
        <f t="shared" ref="C148:G148" si="104">+C149-C147-C146</f>
        <v>9465</v>
      </c>
      <c r="D148" s="2">
        <f t="shared" si="104"/>
        <v>9428</v>
      </c>
      <c r="E148" s="2">
        <f t="shared" si="104"/>
        <v>8999</v>
      </c>
      <c r="F148" s="2">
        <f t="shared" si="104"/>
        <v>8279</v>
      </c>
      <c r="G148" s="2">
        <f t="shared" si="104"/>
        <v>7555</v>
      </c>
    </row>
    <row r="149" spans="1:9" x14ac:dyDescent="0.25">
      <c r="A149" s="2" t="s">
        <v>190</v>
      </c>
      <c r="B149" s="6">
        <f>+B151-B150</f>
        <v>10952</v>
      </c>
      <c r="C149" s="6">
        <f t="shared" ref="C149:G149" si="105">+C151-C150</f>
        <v>10674</v>
      </c>
      <c r="D149" s="6">
        <f t="shared" si="105"/>
        <v>10439</v>
      </c>
      <c r="E149" s="6">
        <f t="shared" si="105"/>
        <v>10242</v>
      </c>
      <c r="F149" s="6">
        <f t="shared" si="105"/>
        <v>9662</v>
      </c>
      <c r="G149" s="6">
        <f t="shared" si="105"/>
        <v>9150</v>
      </c>
      <c r="H149" s="30"/>
      <c r="I149" s="30"/>
    </row>
    <row r="150" spans="1:9" x14ac:dyDescent="0.25">
      <c r="A150" s="2" t="s">
        <v>191</v>
      </c>
      <c r="B150" s="2">
        <v>-4212</v>
      </c>
      <c r="C150" s="2">
        <v>-3868</v>
      </c>
      <c r="D150" s="2">
        <v>-3563</v>
      </c>
      <c r="E150" s="2">
        <v>-3187</v>
      </c>
      <c r="F150" s="2">
        <v>-2584</v>
      </c>
      <c r="G150" s="2">
        <v>-2089</v>
      </c>
    </row>
    <row r="151" spans="1:9" ht="15.75" thickBot="1" x14ac:dyDescent="0.3">
      <c r="A151" s="2" t="s">
        <v>22</v>
      </c>
      <c r="B151" s="9">
        <f>+B14</f>
        <v>6740</v>
      </c>
      <c r="C151" s="9">
        <f t="shared" ref="C151:G151" si="106">+C14</f>
        <v>6806</v>
      </c>
      <c r="D151" s="9">
        <f t="shared" si="106"/>
        <v>6876</v>
      </c>
      <c r="E151" s="9">
        <f t="shared" si="106"/>
        <v>7055</v>
      </c>
      <c r="F151" s="9">
        <f t="shared" si="106"/>
        <v>7078</v>
      </c>
      <c r="G151" s="9">
        <f t="shared" si="106"/>
        <v>7061</v>
      </c>
      <c r="H151" s="32"/>
      <c r="I151" s="32"/>
    </row>
    <row r="152" spans="1:9" ht="15.75" thickTop="1" x14ac:dyDescent="0.25"/>
    <row r="153" spans="1:9" x14ac:dyDescent="0.25">
      <c r="A153" s="2" t="s">
        <v>192</v>
      </c>
      <c r="B153" s="8">
        <v>672</v>
      </c>
      <c r="C153" s="8">
        <v>671</v>
      </c>
      <c r="D153" s="8">
        <v>705</v>
      </c>
      <c r="E153" s="8">
        <v>708</v>
      </c>
      <c r="F153" s="8">
        <v>693</v>
      </c>
      <c r="G153" s="8">
        <v>680</v>
      </c>
      <c r="H153" s="8"/>
      <c r="I153" s="8"/>
    </row>
    <row r="155" spans="1:9" x14ac:dyDescent="0.25">
      <c r="A155" s="2" t="s">
        <v>193</v>
      </c>
      <c r="B155" s="8">
        <v>668</v>
      </c>
      <c r="C155" s="8">
        <v>569</v>
      </c>
      <c r="D155" s="8">
        <v>562</v>
      </c>
      <c r="E155" s="8">
        <v>542</v>
      </c>
      <c r="F155" s="8">
        <v>0</v>
      </c>
      <c r="G155" s="8">
        <v>0</v>
      </c>
      <c r="H155" s="8"/>
      <c r="I155" s="8"/>
    </row>
    <row r="156" spans="1:9" x14ac:dyDescent="0.25">
      <c r="A156" s="2" t="s">
        <v>194</v>
      </c>
      <c r="B156" s="2">
        <v>125</v>
      </c>
      <c r="C156" s="2">
        <v>133</v>
      </c>
      <c r="D156" s="2">
        <v>135</v>
      </c>
      <c r="E156" s="2">
        <v>147</v>
      </c>
      <c r="F156" s="2">
        <v>0</v>
      </c>
      <c r="G156" s="2">
        <v>0</v>
      </c>
    </row>
    <row r="157" spans="1:9" x14ac:dyDescent="0.25">
      <c r="A157" s="2" t="s">
        <v>195</v>
      </c>
      <c r="B157" s="8">
        <v>585</v>
      </c>
      <c r="C157" s="8">
        <v>484</v>
      </c>
      <c r="D157" s="8">
        <v>475</v>
      </c>
      <c r="E157" s="8">
        <v>454</v>
      </c>
      <c r="F157" s="8">
        <v>0</v>
      </c>
      <c r="G157" s="8">
        <v>0</v>
      </c>
      <c r="H157" s="8"/>
      <c r="I157" s="8"/>
    </row>
    <row r="159" spans="1:9" hidden="1" x14ac:dyDescent="0.25">
      <c r="A159" s="13" t="str">
        <f>+A1</f>
        <v>Kraft Heinz Company</v>
      </c>
    </row>
    <row r="160" spans="1:9" hidden="1" x14ac:dyDescent="0.25">
      <c r="A160" s="13" t="s">
        <v>196</v>
      </c>
    </row>
    <row r="161" spans="1:26" hidden="1" x14ac:dyDescent="0.25">
      <c r="A161" s="13" t="s">
        <v>197</v>
      </c>
      <c r="B161" s="13"/>
      <c r="C161" s="13"/>
      <c r="D161" s="13"/>
      <c r="E161" s="13"/>
      <c r="F161" s="13" t="s">
        <v>65</v>
      </c>
      <c r="G161" s="14" t="s">
        <v>66</v>
      </c>
      <c r="H161" s="14"/>
      <c r="I161" s="14" t="s">
        <v>114</v>
      </c>
    </row>
    <row r="162" spans="1:26" ht="15.75" hidden="1" thickBot="1" x14ac:dyDescent="0.3">
      <c r="A162" s="13"/>
      <c r="B162" s="15">
        <v>2022</v>
      </c>
      <c r="C162" s="15">
        <v>2021</v>
      </c>
      <c r="D162" s="15">
        <v>2020</v>
      </c>
      <c r="E162" s="15">
        <v>2019</v>
      </c>
      <c r="F162" s="15">
        <v>2018</v>
      </c>
      <c r="G162" s="15">
        <v>2017</v>
      </c>
      <c r="H162" s="15">
        <v>2016</v>
      </c>
      <c r="I162" s="15">
        <v>2015</v>
      </c>
    </row>
    <row r="163" spans="1:26" hidden="1" x14ac:dyDescent="0.25">
      <c r="A163" s="2" t="s">
        <v>198</v>
      </c>
      <c r="B163" s="8">
        <f>+B70</f>
        <v>2363</v>
      </c>
      <c r="C163" s="8">
        <f t="shared" ref="C163:I163" si="107">+C70</f>
        <v>1012</v>
      </c>
      <c r="D163" s="8">
        <f t="shared" si="107"/>
        <v>356</v>
      </c>
      <c r="E163" s="8">
        <f t="shared" si="107"/>
        <v>1935</v>
      </c>
      <c r="F163" s="8">
        <f t="shared" si="107"/>
        <v>-10192</v>
      </c>
      <c r="G163" s="8">
        <f t="shared" si="107"/>
        <v>10941</v>
      </c>
      <c r="H163" s="8">
        <f t="shared" si="107"/>
        <v>3632</v>
      </c>
      <c r="I163" s="8">
        <f t="shared" si="107"/>
        <v>634</v>
      </c>
    </row>
    <row r="164" spans="1:26" hidden="1" x14ac:dyDescent="0.25">
      <c r="A164" s="2" t="s">
        <v>199</v>
      </c>
    </row>
    <row r="165" spans="1:26" hidden="1" x14ac:dyDescent="0.25">
      <c r="A165" s="5" t="s">
        <v>119</v>
      </c>
      <c r="B165" s="2">
        <v>444</v>
      </c>
      <c r="C165" s="2">
        <v>318</v>
      </c>
      <c r="D165" s="2">
        <v>2343</v>
      </c>
      <c r="E165" s="2">
        <v>1197</v>
      </c>
      <c r="F165" s="2">
        <v>7008</v>
      </c>
      <c r="G165" s="2">
        <v>0</v>
      </c>
      <c r="H165" s="2">
        <v>0</v>
      </c>
      <c r="I165" s="2">
        <v>0</v>
      </c>
      <c r="K165" s="33"/>
      <c r="L165" s="33"/>
      <c r="M165" s="33"/>
      <c r="N165" s="33"/>
      <c r="O165" s="33"/>
      <c r="P165" s="33"/>
      <c r="Q165" s="30"/>
      <c r="R165" s="33"/>
      <c r="S165" s="33"/>
      <c r="T165" s="33"/>
      <c r="U165" s="33"/>
      <c r="V165" s="33"/>
      <c r="W165" s="33"/>
      <c r="X165" s="33"/>
      <c r="Y165" s="30"/>
      <c r="Z165" s="30"/>
    </row>
    <row r="166" spans="1:26" hidden="1" x14ac:dyDescent="0.25">
      <c r="A166" s="5" t="s">
        <v>120</v>
      </c>
      <c r="B166" s="2">
        <v>469</v>
      </c>
      <c r="C166" s="2">
        <v>1316</v>
      </c>
      <c r="D166" s="2">
        <v>1056</v>
      </c>
      <c r="E166" s="2">
        <v>702</v>
      </c>
      <c r="F166" s="2">
        <v>8928</v>
      </c>
      <c r="G166" s="2">
        <v>49</v>
      </c>
      <c r="H166" s="2">
        <v>0</v>
      </c>
      <c r="I166" s="2">
        <v>0</v>
      </c>
      <c r="K166" s="33"/>
      <c r="L166" s="33"/>
      <c r="M166" s="33"/>
      <c r="N166" s="33"/>
      <c r="O166" s="33"/>
      <c r="P166" s="33"/>
      <c r="Q166" s="30"/>
      <c r="R166" s="33"/>
      <c r="S166" s="33"/>
      <c r="T166" s="33"/>
      <c r="U166" s="33"/>
      <c r="V166" s="33"/>
      <c r="W166" s="33"/>
      <c r="X166" s="33"/>
      <c r="Y166" s="30"/>
      <c r="Z166" s="30"/>
    </row>
    <row r="167" spans="1:26" hidden="1" x14ac:dyDescent="0.25">
      <c r="A167" s="5" t="s">
        <v>124</v>
      </c>
      <c r="B167" s="2">
        <v>0</v>
      </c>
      <c r="C167" s="2">
        <v>0</v>
      </c>
      <c r="D167" s="2">
        <v>0</v>
      </c>
      <c r="E167" s="2">
        <v>-700</v>
      </c>
      <c r="F167" s="2">
        <v>0</v>
      </c>
      <c r="G167" s="2">
        <v>0</v>
      </c>
      <c r="H167" s="2">
        <v>0</v>
      </c>
      <c r="I167" s="2">
        <v>0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idden="1" x14ac:dyDescent="0.25">
      <c r="A168" s="31" t="s">
        <v>200</v>
      </c>
      <c r="B168" s="6">
        <f t="shared" ref="B168:I168" si="108">SUM(B165:B167)</f>
        <v>913</v>
      </c>
      <c r="C168" s="6">
        <f t="shared" si="108"/>
        <v>1634</v>
      </c>
      <c r="D168" s="6">
        <f t="shared" si="108"/>
        <v>3399</v>
      </c>
      <c r="E168" s="6">
        <f t="shared" si="108"/>
        <v>1199</v>
      </c>
      <c r="F168" s="6">
        <f t="shared" si="108"/>
        <v>15936</v>
      </c>
      <c r="G168" s="6">
        <f t="shared" si="108"/>
        <v>49</v>
      </c>
      <c r="H168" s="6">
        <f t="shared" si="108"/>
        <v>0</v>
      </c>
      <c r="I168" s="6">
        <f t="shared" si="108"/>
        <v>0</v>
      </c>
    </row>
    <row r="169" spans="1:26" hidden="1" x14ac:dyDescent="0.25">
      <c r="A169" s="42" t="s">
        <v>201</v>
      </c>
      <c r="B169" s="27">
        <f t="shared" ref="B169:I169" si="109">-B168*B179</f>
        <v>-228.25</v>
      </c>
      <c r="C169" s="27">
        <f t="shared" si="109"/>
        <v>-408.5</v>
      </c>
      <c r="D169" s="27">
        <f t="shared" si="109"/>
        <v>-849.75</v>
      </c>
      <c r="E169" s="27">
        <f t="shared" si="109"/>
        <v>-299.75</v>
      </c>
      <c r="F169" s="27">
        <f t="shared" si="109"/>
        <v>-3984</v>
      </c>
      <c r="G169" s="27">
        <f t="shared" si="109"/>
        <v>-12.25</v>
      </c>
      <c r="H169" s="27">
        <f t="shared" si="109"/>
        <v>0</v>
      </c>
      <c r="I169" s="27">
        <f t="shared" si="109"/>
        <v>0</v>
      </c>
    </row>
    <row r="170" spans="1:26" hidden="1" x14ac:dyDescent="0.25">
      <c r="A170" s="5" t="s">
        <v>202</v>
      </c>
      <c r="B170" s="2">
        <f>+B168+B169</f>
        <v>684.75</v>
      </c>
      <c r="C170" s="2">
        <f t="shared" ref="C170:I170" si="110">+C168+C169</f>
        <v>1225.5</v>
      </c>
      <c r="D170" s="2">
        <f t="shared" si="110"/>
        <v>2549.25</v>
      </c>
      <c r="E170" s="2">
        <f t="shared" si="110"/>
        <v>899.25</v>
      </c>
      <c r="F170" s="2">
        <f t="shared" si="110"/>
        <v>11952</v>
      </c>
      <c r="G170" s="2">
        <f t="shared" si="110"/>
        <v>36.75</v>
      </c>
      <c r="H170" s="2">
        <f t="shared" si="110"/>
        <v>0</v>
      </c>
      <c r="I170" s="2">
        <f t="shared" si="110"/>
        <v>0</v>
      </c>
    </row>
    <row r="171" spans="1:26" hidden="1" x14ac:dyDescent="0.25">
      <c r="A171" s="5" t="s">
        <v>203</v>
      </c>
      <c r="B171" s="27">
        <f>+B182</f>
        <v>-143.5</v>
      </c>
      <c r="C171" s="27">
        <f t="shared" ref="C171:G171" si="111">+C182</f>
        <v>257</v>
      </c>
      <c r="D171" s="27">
        <f t="shared" si="111"/>
        <v>411.5</v>
      </c>
      <c r="E171" s="27">
        <f t="shared" si="111"/>
        <v>62.75</v>
      </c>
      <c r="F171" s="27">
        <f t="shared" si="111"/>
        <v>1763.25</v>
      </c>
      <c r="G171" s="27">
        <f t="shared" si="111"/>
        <v>-6844.5</v>
      </c>
      <c r="H171" s="27">
        <f t="shared" ref="H171:I171" si="112">+H182</f>
        <v>125.25</v>
      </c>
      <c r="I171" s="27">
        <f t="shared" si="112"/>
        <v>112.75</v>
      </c>
    </row>
    <row r="172" spans="1:26" hidden="1" x14ac:dyDescent="0.25">
      <c r="A172" s="2" t="s">
        <v>204</v>
      </c>
      <c r="B172" s="2">
        <f>SUM(B170:B171)</f>
        <v>541.25</v>
      </c>
      <c r="C172" s="2">
        <f t="shared" ref="C172:I172" si="113">SUM(C170:C171)</f>
        <v>1482.5</v>
      </c>
      <c r="D172" s="2">
        <f t="shared" si="113"/>
        <v>2960.75</v>
      </c>
      <c r="E172" s="2">
        <f t="shared" si="113"/>
        <v>962</v>
      </c>
      <c r="F172" s="2">
        <f t="shared" si="113"/>
        <v>13715.25</v>
      </c>
      <c r="G172" s="2">
        <f t="shared" si="113"/>
        <v>-6807.75</v>
      </c>
      <c r="H172" s="2">
        <f t="shared" si="113"/>
        <v>125.25</v>
      </c>
      <c r="I172" s="2">
        <f t="shared" si="113"/>
        <v>112.75</v>
      </c>
    </row>
    <row r="173" spans="1:26" ht="15.75" hidden="1" thickBot="1" x14ac:dyDescent="0.3">
      <c r="A173" s="2" t="s">
        <v>205</v>
      </c>
      <c r="B173" s="9">
        <f t="shared" ref="B173:I173" si="114">+B163+B172</f>
        <v>2904.25</v>
      </c>
      <c r="C173" s="9">
        <f t="shared" si="114"/>
        <v>2494.5</v>
      </c>
      <c r="D173" s="9">
        <f t="shared" si="114"/>
        <v>3316.75</v>
      </c>
      <c r="E173" s="9">
        <f t="shared" si="114"/>
        <v>2897</v>
      </c>
      <c r="F173" s="9">
        <f t="shared" si="114"/>
        <v>3523.25</v>
      </c>
      <c r="G173" s="9">
        <f t="shared" si="114"/>
        <v>4133.25</v>
      </c>
      <c r="H173" s="9">
        <f t="shared" si="114"/>
        <v>3757.25</v>
      </c>
      <c r="I173" s="9">
        <f t="shared" si="114"/>
        <v>746.75</v>
      </c>
    </row>
    <row r="174" spans="1:26" ht="15.75" hidden="1" thickTop="1" x14ac:dyDescent="0.25">
      <c r="A174" s="2" t="s">
        <v>206</v>
      </c>
      <c r="B174" s="7">
        <f t="shared" ref="B174:I174" si="115">+B173/B74</f>
        <v>2.3516194331983806</v>
      </c>
      <c r="C174" s="7">
        <f t="shared" si="115"/>
        <v>2.0182038834951457</v>
      </c>
      <c r="D174" s="7">
        <f t="shared" si="115"/>
        <v>2.7009364820846904</v>
      </c>
      <c r="E174" s="7">
        <f t="shared" si="115"/>
        <v>2.3668300653594772</v>
      </c>
      <c r="F174" s="7">
        <f t="shared" si="115"/>
        <v>2.890278917145201</v>
      </c>
      <c r="G174" s="7">
        <f t="shared" si="115"/>
        <v>3.3658387622149837</v>
      </c>
      <c r="H174" s="7">
        <f t="shared" si="115"/>
        <v>3.0584798667439164</v>
      </c>
      <c r="I174" s="7">
        <f t="shared" si="115"/>
        <v>0.95449248120300767</v>
      </c>
    </row>
    <row r="175" spans="1:26" hidden="1" x14ac:dyDescent="0.25"/>
    <row r="176" spans="1:26" hidden="1" x14ac:dyDescent="0.25">
      <c r="A176" s="2" t="s">
        <v>207</v>
      </c>
    </row>
    <row r="177" spans="1:9" hidden="1" x14ac:dyDescent="0.25">
      <c r="A177" s="5" t="s">
        <v>208</v>
      </c>
      <c r="B177" s="25">
        <f t="shared" ref="B177:I177" si="116">+B67/B66</f>
        <v>0.20161834120026972</v>
      </c>
      <c r="C177" s="25">
        <f t="shared" si="116"/>
        <v>0.40046838407494145</v>
      </c>
      <c r="D177" s="25">
        <f t="shared" si="116"/>
        <v>0.64951456310679612</v>
      </c>
      <c r="E177" s="25">
        <f t="shared" si="116"/>
        <v>0.27358136039083053</v>
      </c>
      <c r="F177" s="25">
        <f t="shared" si="116"/>
        <v>9.4249624591467185E-2</v>
      </c>
      <c r="G177" s="25">
        <f t="shared" si="116"/>
        <v>-1.0058715596330274</v>
      </c>
      <c r="H177" s="25">
        <f t="shared" si="116"/>
        <v>0.27493529763089786</v>
      </c>
      <c r="I177" s="25">
        <f t="shared" si="116"/>
        <v>0.36130306021717673</v>
      </c>
    </row>
    <row r="178" spans="1:9" hidden="1" x14ac:dyDescent="0.25">
      <c r="A178" s="5" t="s">
        <v>209</v>
      </c>
      <c r="B178" s="2">
        <f t="shared" ref="B178:I178" si="117">+B66</f>
        <v>2966</v>
      </c>
      <c r="C178" s="2">
        <f t="shared" si="117"/>
        <v>1708</v>
      </c>
      <c r="D178" s="2">
        <f t="shared" si="117"/>
        <v>1030</v>
      </c>
      <c r="E178" s="2">
        <f t="shared" si="117"/>
        <v>2661</v>
      </c>
      <c r="F178" s="2">
        <f t="shared" si="117"/>
        <v>-11321</v>
      </c>
      <c r="G178" s="2">
        <f t="shared" si="117"/>
        <v>5450</v>
      </c>
      <c r="H178" s="2">
        <f t="shared" si="117"/>
        <v>5023</v>
      </c>
      <c r="I178" s="2">
        <f t="shared" si="117"/>
        <v>1013</v>
      </c>
    </row>
    <row r="179" spans="1:9" hidden="1" x14ac:dyDescent="0.25">
      <c r="A179" s="5" t="s">
        <v>210</v>
      </c>
      <c r="B179" s="25">
        <v>0.25</v>
      </c>
      <c r="C179" s="25">
        <v>0.25</v>
      </c>
      <c r="D179" s="25">
        <v>0.25</v>
      </c>
      <c r="E179" s="25">
        <v>0.25</v>
      </c>
      <c r="F179" s="25">
        <v>0.25</v>
      </c>
      <c r="G179" s="25">
        <v>0.25</v>
      </c>
      <c r="H179" s="25">
        <v>0.25</v>
      </c>
      <c r="I179" s="25">
        <v>0.25</v>
      </c>
    </row>
    <row r="180" spans="1:9" hidden="1" x14ac:dyDescent="0.25">
      <c r="A180" s="5" t="s">
        <v>211</v>
      </c>
      <c r="B180" s="2">
        <f>+B178*B179</f>
        <v>741.5</v>
      </c>
      <c r="C180" s="2">
        <f t="shared" ref="C180:I180" si="118">+C178*C179</f>
        <v>427</v>
      </c>
      <c r="D180" s="2">
        <f t="shared" si="118"/>
        <v>257.5</v>
      </c>
      <c r="E180" s="2">
        <f t="shared" si="118"/>
        <v>665.25</v>
      </c>
      <c r="F180" s="2">
        <f t="shared" si="118"/>
        <v>-2830.25</v>
      </c>
      <c r="G180" s="2">
        <f t="shared" si="118"/>
        <v>1362.5</v>
      </c>
      <c r="H180" s="2">
        <f t="shared" si="118"/>
        <v>1255.75</v>
      </c>
      <c r="I180" s="2">
        <f t="shared" si="118"/>
        <v>253.25</v>
      </c>
    </row>
    <row r="181" spans="1:9" hidden="1" x14ac:dyDescent="0.25">
      <c r="A181" s="5" t="s">
        <v>212</v>
      </c>
      <c r="B181" s="2">
        <f t="shared" ref="B181:I181" si="119">+B67</f>
        <v>598</v>
      </c>
      <c r="C181" s="2">
        <f t="shared" si="119"/>
        <v>684</v>
      </c>
      <c r="D181" s="2">
        <f t="shared" si="119"/>
        <v>669</v>
      </c>
      <c r="E181" s="2">
        <f t="shared" si="119"/>
        <v>728</v>
      </c>
      <c r="F181" s="2">
        <f t="shared" si="119"/>
        <v>-1067</v>
      </c>
      <c r="G181" s="2">
        <f t="shared" si="119"/>
        <v>-5482</v>
      </c>
      <c r="H181" s="2">
        <f t="shared" si="119"/>
        <v>1381</v>
      </c>
      <c r="I181" s="2">
        <f t="shared" si="119"/>
        <v>366</v>
      </c>
    </row>
    <row r="182" spans="1:9" ht="15.75" hidden="1" thickBot="1" x14ac:dyDescent="0.3">
      <c r="A182" s="2" t="s">
        <v>213</v>
      </c>
      <c r="B182" s="9">
        <f>+B181-B180</f>
        <v>-143.5</v>
      </c>
      <c r="C182" s="9">
        <f t="shared" ref="C182:I182" si="120">+C181-C180</f>
        <v>257</v>
      </c>
      <c r="D182" s="9">
        <f t="shared" si="120"/>
        <v>411.5</v>
      </c>
      <c r="E182" s="9">
        <f t="shared" si="120"/>
        <v>62.75</v>
      </c>
      <c r="F182" s="9">
        <f t="shared" si="120"/>
        <v>1763.25</v>
      </c>
      <c r="G182" s="9">
        <f t="shared" si="120"/>
        <v>-6844.5</v>
      </c>
      <c r="H182" s="9">
        <f t="shared" si="120"/>
        <v>125.25</v>
      </c>
      <c r="I182" s="9">
        <f t="shared" si="120"/>
        <v>112.75</v>
      </c>
    </row>
    <row r="183" spans="1:9" ht="15.75" hidden="1" thickTop="1" x14ac:dyDescent="0.25">
      <c r="B183" s="32"/>
      <c r="C183" s="32"/>
      <c r="D183" s="32"/>
      <c r="E183" s="32"/>
      <c r="F183" s="32"/>
      <c r="G183" s="32"/>
      <c r="H183" s="32"/>
      <c r="I183" s="32"/>
    </row>
    <row r="184" spans="1:9" hidden="1" x14ac:dyDescent="0.25">
      <c r="B184" s="13"/>
      <c r="C184" s="13"/>
      <c r="D184" s="13"/>
      <c r="E184" s="13"/>
      <c r="F184" s="13" t="s">
        <v>65</v>
      </c>
      <c r="G184" s="14" t="s">
        <v>66</v>
      </c>
      <c r="H184" s="14"/>
      <c r="I184" s="14" t="s">
        <v>114</v>
      </c>
    </row>
    <row r="185" spans="1:9" ht="15.75" hidden="1" thickBot="1" x14ac:dyDescent="0.3">
      <c r="A185" s="2" t="s">
        <v>214</v>
      </c>
      <c r="B185" s="15">
        <v>2022</v>
      </c>
      <c r="C185" s="15">
        <v>2021</v>
      </c>
      <c r="D185" s="15">
        <v>2020</v>
      </c>
      <c r="E185" s="15">
        <v>2019</v>
      </c>
      <c r="F185" s="15">
        <v>2018</v>
      </c>
      <c r="G185" s="15">
        <v>2017</v>
      </c>
      <c r="H185" s="15">
        <v>2016</v>
      </c>
      <c r="I185" s="15">
        <v>2015</v>
      </c>
    </row>
    <row r="186" spans="1:9" hidden="1" x14ac:dyDescent="0.25">
      <c r="A186" s="5" t="s">
        <v>215</v>
      </c>
      <c r="B186" s="8">
        <f t="shared" ref="B186:I186" si="121">+B56</f>
        <v>26485</v>
      </c>
      <c r="C186" s="8">
        <f t="shared" si="121"/>
        <v>26042</v>
      </c>
      <c r="D186" s="8">
        <f t="shared" si="121"/>
        <v>26185</v>
      </c>
      <c r="E186" s="8">
        <f t="shared" si="121"/>
        <v>24977</v>
      </c>
      <c r="F186" s="8">
        <f t="shared" si="121"/>
        <v>26268</v>
      </c>
      <c r="G186" s="8">
        <f t="shared" si="121"/>
        <v>26076</v>
      </c>
      <c r="H186" s="8">
        <f t="shared" si="121"/>
        <v>26487</v>
      </c>
      <c r="I186" s="8">
        <f t="shared" si="121"/>
        <v>18338</v>
      </c>
    </row>
    <row r="187" spans="1:9" hidden="1" x14ac:dyDescent="0.25">
      <c r="A187" s="5" t="s">
        <v>117</v>
      </c>
      <c r="B187" s="2">
        <f t="shared" ref="B187:I187" si="122">+B58</f>
        <v>8122</v>
      </c>
      <c r="C187" s="2">
        <f t="shared" si="122"/>
        <v>8682</v>
      </c>
      <c r="D187" s="2">
        <f t="shared" si="122"/>
        <v>9177</v>
      </c>
      <c r="E187" s="2">
        <f t="shared" si="122"/>
        <v>8147</v>
      </c>
      <c r="F187" s="2">
        <f t="shared" si="122"/>
        <v>8921</v>
      </c>
      <c r="G187" s="2">
        <f t="shared" si="122"/>
        <v>9033</v>
      </c>
      <c r="H187" s="2">
        <f t="shared" si="122"/>
        <v>9586</v>
      </c>
      <c r="I187" s="2">
        <f t="shared" si="122"/>
        <v>5761</v>
      </c>
    </row>
    <row r="188" spans="1:9" hidden="1" x14ac:dyDescent="0.25">
      <c r="A188" s="5" t="s">
        <v>216</v>
      </c>
      <c r="B188" s="2">
        <f t="shared" ref="B188:I188" si="123">+B63+B61+B60</f>
        <v>4547</v>
      </c>
      <c r="C188" s="2">
        <f t="shared" si="123"/>
        <v>5094</v>
      </c>
      <c r="D188" s="2">
        <f t="shared" si="123"/>
        <v>5527</v>
      </c>
      <c r="E188" s="2">
        <f t="shared" si="123"/>
        <v>4969</v>
      </c>
      <c r="F188" s="2">
        <f t="shared" si="123"/>
        <v>5731</v>
      </c>
      <c r="G188" s="2">
        <f t="shared" si="123"/>
        <v>6106</v>
      </c>
      <c r="H188" s="2">
        <f t="shared" si="123"/>
        <v>6142</v>
      </c>
      <c r="I188" s="2">
        <f t="shared" si="123"/>
        <v>2639</v>
      </c>
    </row>
    <row r="189" spans="1:9" hidden="1" x14ac:dyDescent="0.25">
      <c r="A189" s="5" t="s">
        <v>217</v>
      </c>
      <c r="B189" s="8">
        <f>+B173</f>
        <v>2904.25</v>
      </c>
      <c r="C189" s="8">
        <f t="shared" ref="C189:I189" si="124">+C173</f>
        <v>2494.5</v>
      </c>
      <c r="D189" s="8">
        <f t="shared" si="124"/>
        <v>3316.75</v>
      </c>
      <c r="E189" s="8">
        <f t="shared" si="124"/>
        <v>2897</v>
      </c>
      <c r="F189" s="8">
        <f t="shared" si="124"/>
        <v>3523.25</v>
      </c>
      <c r="G189" s="8">
        <f t="shared" si="124"/>
        <v>4133.25</v>
      </c>
      <c r="H189" s="8">
        <f t="shared" si="124"/>
        <v>3757.25</v>
      </c>
      <c r="I189" s="8">
        <f t="shared" si="124"/>
        <v>746.75</v>
      </c>
    </row>
    <row r="190" spans="1:9" hidden="1" x14ac:dyDescent="0.25">
      <c r="A190" s="2" t="s">
        <v>214</v>
      </c>
    </row>
    <row r="191" spans="1:9" hidden="1" x14ac:dyDescent="0.25">
      <c r="A191" s="5" t="s">
        <v>218</v>
      </c>
      <c r="B191" s="34">
        <f>+B187/B186</f>
        <v>0.30666414951859544</v>
      </c>
      <c r="C191" s="25">
        <f t="shared" ref="C191:I191" si="125">+C187/C186</f>
        <v>0.33338453267798174</v>
      </c>
      <c r="D191" s="25">
        <f t="shared" si="125"/>
        <v>0.35046782509070079</v>
      </c>
      <c r="E191" s="34">
        <f t="shared" si="125"/>
        <v>0.32618008567882451</v>
      </c>
      <c r="F191" s="34">
        <f t="shared" si="125"/>
        <v>0.33961474036850919</v>
      </c>
      <c r="G191" s="34">
        <f t="shared" si="125"/>
        <v>0.34641049240681088</v>
      </c>
      <c r="H191" s="34">
        <f t="shared" si="125"/>
        <v>0.36191339147506324</v>
      </c>
      <c r="I191" s="25">
        <f t="shared" si="125"/>
        <v>0.31415639655360456</v>
      </c>
    </row>
    <row r="192" spans="1:9" hidden="1" x14ac:dyDescent="0.25">
      <c r="A192" s="31" t="s">
        <v>219</v>
      </c>
      <c r="B192" s="26">
        <f>+B188/B187</f>
        <v>0.55983747845358289</v>
      </c>
      <c r="C192" s="26">
        <f t="shared" ref="C192:I192" si="126">+C188/C187</f>
        <v>0.58673116793365587</v>
      </c>
      <c r="D192" s="26">
        <f t="shared" si="126"/>
        <v>0.60226653590497981</v>
      </c>
      <c r="E192" s="26">
        <f t="shared" si="126"/>
        <v>0.60991776113906959</v>
      </c>
      <c r="F192" s="26">
        <f t="shared" si="126"/>
        <v>0.64241676942046855</v>
      </c>
      <c r="G192" s="26">
        <f t="shared" si="126"/>
        <v>0.67596590280084135</v>
      </c>
      <c r="H192" s="26">
        <f t="shared" si="126"/>
        <v>0.64072605883580225</v>
      </c>
      <c r="I192" s="26">
        <f t="shared" si="126"/>
        <v>0.45808019441069259</v>
      </c>
    </row>
    <row r="193" spans="1:9" hidden="1" x14ac:dyDescent="0.25">
      <c r="A193" s="5" t="s">
        <v>220</v>
      </c>
      <c r="B193" s="25">
        <f>+B188/B186</f>
        <v>0.17168208419860298</v>
      </c>
      <c r="C193" s="25">
        <f t="shared" ref="C193:I193" si="127">+C188/C186</f>
        <v>0.19560709622916828</v>
      </c>
      <c r="D193" s="25">
        <f t="shared" si="127"/>
        <v>0.21107504296352875</v>
      </c>
      <c r="E193" s="25">
        <f t="shared" si="127"/>
        <v>0.19894302758537855</v>
      </c>
      <c r="F193" s="25">
        <f t="shared" si="127"/>
        <v>0.21817420435510887</v>
      </c>
      <c r="G193" s="25">
        <f t="shared" si="127"/>
        <v>0.23416168123945391</v>
      </c>
      <c r="H193" s="25">
        <f t="shared" si="127"/>
        <v>0.23188734095971608</v>
      </c>
      <c r="I193" s="25">
        <f t="shared" si="127"/>
        <v>0.14390882320863779</v>
      </c>
    </row>
    <row r="194" spans="1:9" hidden="1" x14ac:dyDescent="0.25">
      <c r="A194" s="31" t="s">
        <v>221</v>
      </c>
      <c r="B194" s="25">
        <f>+B189/B188</f>
        <v>0.6387178359357818</v>
      </c>
      <c r="C194" s="34">
        <f t="shared" ref="C194:I194" si="128">+C189/C188</f>
        <v>0.48969375736160187</v>
      </c>
      <c r="D194" s="25">
        <f t="shared" si="128"/>
        <v>0.60009951148905372</v>
      </c>
      <c r="E194" s="25">
        <f t="shared" si="128"/>
        <v>0.58301469108472526</v>
      </c>
      <c r="F194" s="25">
        <f t="shared" si="128"/>
        <v>0.61477054615250393</v>
      </c>
      <c r="G194" s="25">
        <f t="shared" si="128"/>
        <v>0.67691614805109723</v>
      </c>
      <c r="H194" s="25">
        <f t="shared" si="128"/>
        <v>0.61173070661022466</v>
      </c>
      <c r="I194" s="25">
        <f t="shared" si="128"/>
        <v>0.28296703296703296</v>
      </c>
    </row>
    <row r="195" spans="1:9" ht="15.75" hidden="1" thickBot="1" x14ac:dyDescent="0.3">
      <c r="A195" s="5" t="s">
        <v>222</v>
      </c>
      <c r="B195" s="28">
        <f>+B189/B186</f>
        <v>0.10965640928827639</v>
      </c>
      <c r="C195" s="28">
        <f t="shared" ref="C195:I195" si="129">+C189/C186</f>
        <v>9.5787573919053834E-2</v>
      </c>
      <c r="D195" s="28">
        <f t="shared" si="129"/>
        <v>0.12666603016994463</v>
      </c>
      <c r="E195" s="28">
        <f t="shared" si="129"/>
        <v>0.11598670777114946</v>
      </c>
      <c r="F195" s="28">
        <f t="shared" si="129"/>
        <v>0.1341270747677783</v>
      </c>
      <c r="G195" s="28">
        <f t="shared" si="129"/>
        <v>0.15850782328578003</v>
      </c>
      <c r="H195" s="28">
        <f t="shared" si="129"/>
        <v>0.14185260693925322</v>
      </c>
      <c r="I195" s="28">
        <f t="shared" si="129"/>
        <v>4.0721452721125533E-2</v>
      </c>
    </row>
    <row r="196" spans="1:9" ht="15.75" hidden="1" thickTop="1" x14ac:dyDescent="0.25"/>
    <row r="197" spans="1:9" hidden="1" x14ac:dyDescent="0.25">
      <c r="A197" s="2" t="s">
        <v>223</v>
      </c>
      <c r="B197" s="8">
        <f t="shared" ref="B197:I197" si="130">+B188+B84</f>
        <v>5480</v>
      </c>
      <c r="C197" s="8">
        <f t="shared" si="130"/>
        <v>6004</v>
      </c>
      <c r="D197" s="8">
        <f t="shared" si="130"/>
        <v>6496</v>
      </c>
      <c r="E197" s="8">
        <f t="shared" si="130"/>
        <v>5963</v>
      </c>
      <c r="F197" s="8">
        <f t="shared" si="130"/>
        <v>6714</v>
      </c>
      <c r="G197" s="8">
        <f t="shared" si="130"/>
        <v>7137</v>
      </c>
      <c r="H197" s="8">
        <f t="shared" si="130"/>
        <v>7479</v>
      </c>
      <c r="I197" s="8">
        <f t="shared" si="130"/>
        <v>3379</v>
      </c>
    </row>
    <row r="198" spans="1:9" hidden="1" x14ac:dyDescent="0.25">
      <c r="A198" s="2" t="s">
        <v>224</v>
      </c>
      <c r="B198" s="25">
        <f>+B197/B186</f>
        <v>0.20690957145554087</v>
      </c>
      <c r="C198" s="25">
        <f t="shared" ref="C198:I198" si="131">+C197/C186</f>
        <v>0.23055064895169342</v>
      </c>
      <c r="D198" s="25">
        <f t="shared" si="131"/>
        <v>0.24808096238304372</v>
      </c>
      <c r="E198" s="25">
        <f t="shared" si="131"/>
        <v>0.23873964046923168</v>
      </c>
      <c r="F198" s="25">
        <f t="shared" si="131"/>
        <v>0.2555961626313385</v>
      </c>
      <c r="G198" s="25">
        <f t="shared" si="131"/>
        <v>0.27369995398067187</v>
      </c>
      <c r="H198" s="25">
        <f t="shared" si="131"/>
        <v>0.28236493374108051</v>
      </c>
      <c r="I198" s="25">
        <f t="shared" si="131"/>
        <v>0.18426218780674011</v>
      </c>
    </row>
    <row r="199" spans="1:9" hidden="1" x14ac:dyDescent="0.25"/>
    <row r="200" spans="1:9" hidden="1" x14ac:dyDescent="0.25">
      <c r="A200" s="2" t="s">
        <v>225</v>
      </c>
      <c r="B200" s="7">
        <f>+Reclassified!B40</f>
        <v>38.130000000000003</v>
      </c>
      <c r="C200" s="7">
        <f>+Reclassified!C40</f>
        <v>39.22</v>
      </c>
      <c r="D200" s="7">
        <f>+Reclassified!D40</f>
        <v>36.380000000000003</v>
      </c>
      <c r="E200" s="7">
        <f>+Reclassified!E40</f>
        <v>24.77</v>
      </c>
      <c r="F200" s="7">
        <f>+Reclassified!F40</f>
        <v>33.19</v>
      </c>
      <c r="G200" s="7">
        <f>+Reclassified!G40</f>
        <v>67.14</v>
      </c>
      <c r="H200" s="7">
        <f>+'Heinz-Kraft Merger'!B73</f>
        <v>87.32</v>
      </c>
      <c r="I200" s="7">
        <f>+'Heinz-Kraft Merger'!B74</f>
        <v>72.760000000000005</v>
      </c>
    </row>
    <row r="201" spans="1:9" hidden="1" x14ac:dyDescent="0.25">
      <c r="A201" s="5" t="s">
        <v>226</v>
      </c>
      <c r="B201" s="27">
        <f>+B48</f>
        <v>1225</v>
      </c>
      <c r="C201" s="27">
        <f t="shared" ref="C201:I201" si="132">+C48</f>
        <v>1224</v>
      </c>
      <c r="D201" s="27">
        <f t="shared" si="132"/>
        <v>1223</v>
      </c>
      <c r="E201" s="27">
        <f t="shared" si="132"/>
        <v>1221</v>
      </c>
      <c r="F201" s="27">
        <f t="shared" si="132"/>
        <v>1220</v>
      </c>
      <c r="G201" s="27">
        <f t="shared" si="132"/>
        <v>1219</v>
      </c>
      <c r="H201" s="27">
        <f t="shared" si="132"/>
        <v>1216.4757400000001</v>
      </c>
      <c r="I201" s="27">
        <f t="shared" si="132"/>
        <v>1213.978752</v>
      </c>
    </row>
    <row r="202" spans="1:9" hidden="1" x14ac:dyDescent="0.25">
      <c r="A202" s="2" t="s">
        <v>227</v>
      </c>
      <c r="B202" s="2">
        <f>+B201*B200</f>
        <v>46709.25</v>
      </c>
      <c r="C202" s="2">
        <f t="shared" ref="C202:I202" si="133">+C201*C200</f>
        <v>48005.279999999999</v>
      </c>
      <c r="D202" s="2">
        <f t="shared" si="133"/>
        <v>44492.740000000005</v>
      </c>
      <c r="E202" s="2">
        <f t="shared" si="133"/>
        <v>30244.17</v>
      </c>
      <c r="F202" s="2">
        <f t="shared" si="133"/>
        <v>40491.799999999996</v>
      </c>
      <c r="G202" s="2">
        <f t="shared" si="133"/>
        <v>81843.66</v>
      </c>
      <c r="H202" s="2">
        <f t="shared" si="133"/>
        <v>106222.6616168</v>
      </c>
      <c r="I202" s="2">
        <f t="shared" si="133"/>
        <v>88329.093995520001</v>
      </c>
    </row>
    <row r="203" spans="1:9" hidden="1" x14ac:dyDescent="0.25">
      <c r="A203" s="5" t="s">
        <v>228</v>
      </c>
      <c r="B203" s="2">
        <f t="shared" ref="B203:I203" si="134">+B21+B20+B29</f>
        <v>20070</v>
      </c>
      <c r="C203" s="2">
        <f t="shared" si="134"/>
        <v>21815</v>
      </c>
      <c r="D203" s="2">
        <f t="shared" si="134"/>
        <v>28306</v>
      </c>
      <c r="E203" s="2">
        <f t="shared" si="134"/>
        <v>29244</v>
      </c>
      <c r="F203" s="2">
        <f t="shared" si="134"/>
        <v>31168</v>
      </c>
      <c r="G203" s="2">
        <f t="shared" si="134"/>
        <v>31503</v>
      </c>
      <c r="H203" s="2">
        <f t="shared" si="134"/>
        <v>29713</v>
      </c>
      <c r="I203" s="2">
        <f t="shared" si="134"/>
        <v>25151</v>
      </c>
    </row>
    <row r="204" spans="1:9" hidden="1" x14ac:dyDescent="0.25">
      <c r="A204" s="5" t="s">
        <v>229</v>
      </c>
      <c r="B204" s="2">
        <f>-B6</f>
        <v>-1040</v>
      </c>
      <c r="C204" s="2">
        <f t="shared" ref="C204:I204" si="135">-C6</f>
        <v>-3445</v>
      </c>
      <c r="D204" s="2">
        <f t="shared" si="135"/>
        <v>-3417</v>
      </c>
      <c r="E204" s="2">
        <f t="shared" si="135"/>
        <v>-2279</v>
      </c>
      <c r="F204" s="2">
        <f t="shared" si="135"/>
        <v>-1130</v>
      </c>
      <c r="G204" s="2">
        <f t="shared" si="135"/>
        <v>-1629</v>
      </c>
      <c r="H204" s="2">
        <f t="shared" si="135"/>
        <v>0</v>
      </c>
      <c r="I204" s="2">
        <f t="shared" si="135"/>
        <v>0</v>
      </c>
    </row>
    <row r="205" spans="1:9" ht="15.75" hidden="1" thickBot="1" x14ac:dyDescent="0.3">
      <c r="A205" s="2" t="s">
        <v>230</v>
      </c>
      <c r="B205" s="9">
        <f>SUM(B202:B204)</f>
        <v>65739.25</v>
      </c>
      <c r="C205" s="9">
        <f t="shared" ref="C205:I205" si="136">SUM(C202:C204)</f>
        <v>66375.28</v>
      </c>
      <c r="D205" s="9">
        <f t="shared" si="136"/>
        <v>69381.740000000005</v>
      </c>
      <c r="E205" s="9">
        <f t="shared" si="136"/>
        <v>57209.17</v>
      </c>
      <c r="F205" s="9">
        <f t="shared" si="136"/>
        <v>70529.799999999988</v>
      </c>
      <c r="G205" s="9">
        <f t="shared" si="136"/>
        <v>111717.66</v>
      </c>
      <c r="H205" s="9">
        <f t="shared" si="136"/>
        <v>135935.6616168</v>
      </c>
      <c r="I205" s="9">
        <f t="shared" si="136"/>
        <v>113480.09399552</v>
      </c>
    </row>
    <row r="206" spans="1:9" ht="15.75" hidden="1" thickTop="1" x14ac:dyDescent="0.25">
      <c r="A206" s="2" t="s">
        <v>231</v>
      </c>
      <c r="B206" s="35">
        <f>+B205/B197</f>
        <v>11.996213503649635</v>
      </c>
      <c r="C206" s="35">
        <f t="shared" ref="C206:I206" si="137">+C205/C197</f>
        <v>11.055176548967355</v>
      </c>
      <c r="D206" s="35">
        <f t="shared" si="137"/>
        <v>10.680686576354681</v>
      </c>
      <c r="E206" s="35">
        <f t="shared" si="137"/>
        <v>9.594024819721616</v>
      </c>
      <c r="F206" s="35">
        <f t="shared" si="137"/>
        <v>10.504885314268691</v>
      </c>
      <c r="G206" s="35">
        <f t="shared" si="137"/>
        <v>15.653308112652375</v>
      </c>
      <c r="H206" s="35">
        <f t="shared" si="137"/>
        <v>18.175646692980344</v>
      </c>
      <c r="I206" s="35">
        <f t="shared" si="137"/>
        <v>33.583928379852026</v>
      </c>
    </row>
    <row r="207" spans="1:9" hidden="1" x14ac:dyDescent="0.25">
      <c r="A207" s="2" t="s">
        <v>232</v>
      </c>
      <c r="B207" s="1">
        <f>+B200/B174</f>
        <v>16.214358268055438</v>
      </c>
      <c r="C207" s="1">
        <f t="shared" ref="C207:I207" si="138">+C200/C174</f>
        <v>19.433120865904989</v>
      </c>
      <c r="D207" s="1">
        <f t="shared" si="138"/>
        <v>13.469402276324717</v>
      </c>
      <c r="E207" s="1">
        <f t="shared" si="138"/>
        <v>10.465474628926476</v>
      </c>
      <c r="F207" s="1">
        <f t="shared" si="138"/>
        <v>11.48332079755907</v>
      </c>
      <c r="G207" s="1">
        <f t="shared" si="138"/>
        <v>19.947479586281982</v>
      </c>
      <c r="H207" s="1">
        <f t="shared" si="138"/>
        <v>28.550130719991174</v>
      </c>
      <c r="I207" s="1">
        <f t="shared" si="138"/>
        <v>76.228992299966521</v>
      </c>
    </row>
    <row r="208" spans="1:9" hidden="1" x14ac:dyDescent="0.25"/>
    <row r="209" spans="1:9" hidden="1" x14ac:dyDescent="0.25">
      <c r="A209" s="2" t="s">
        <v>233</v>
      </c>
      <c r="B209" s="8">
        <f>+B189</f>
        <v>2904.25</v>
      </c>
      <c r="C209" s="8">
        <f t="shared" ref="C209:H209" si="139">+C189</f>
        <v>2494.5</v>
      </c>
      <c r="D209" s="8">
        <f t="shared" si="139"/>
        <v>3316.75</v>
      </c>
      <c r="E209" s="8">
        <f t="shared" si="139"/>
        <v>2897</v>
      </c>
      <c r="F209" s="8">
        <f t="shared" si="139"/>
        <v>3523.25</v>
      </c>
      <c r="G209" s="8">
        <f t="shared" si="139"/>
        <v>4133.25</v>
      </c>
      <c r="H209" s="8">
        <f t="shared" si="139"/>
        <v>3757.25</v>
      </c>
    </row>
    <row r="210" spans="1:9" hidden="1" x14ac:dyDescent="0.25">
      <c r="A210" s="2" t="s">
        <v>234</v>
      </c>
      <c r="B210" s="2">
        <f>AVERAGE(B43:C43)</f>
        <v>49139</v>
      </c>
      <c r="C210" s="2">
        <f t="shared" ref="C210:H210" si="140">AVERAGE(C43:D43)</f>
        <v>49845.5</v>
      </c>
      <c r="D210" s="2">
        <f t="shared" si="140"/>
        <v>50996</v>
      </c>
      <c r="E210" s="2">
        <f t="shared" si="140"/>
        <v>51762</v>
      </c>
      <c r="F210" s="2">
        <f t="shared" si="140"/>
        <v>58922.5</v>
      </c>
      <c r="G210" s="2">
        <f t="shared" si="140"/>
        <v>61822</v>
      </c>
      <c r="H210" s="2">
        <f t="shared" si="140"/>
        <v>57733.5</v>
      </c>
    </row>
    <row r="211" spans="1:9" ht="15.75" hidden="1" thickBot="1" x14ac:dyDescent="0.3">
      <c r="A211" s="2" t="s">
        <v>235</v>
      </c>
      <c r="B211" s="28">
        <f>+B209/B210</f>
        <v>5.9102749343698489E-2</v>
      </c>
      <c r="C211" s="28">
        <f t="shared" ref="C211:H211" si="141">+C209/C210</f>
        <v>5.0044637931207434E-2</v>
      </c>
      <c r="D211" s="28">
        <f t="shared" si="141"/>
        <v>6.5039414856067138E-2</v>
      </c>
      <c r="E211" s="28">
        <f t="shared" si="141"/>
        <v>5.5967698311502646E-2</v>
      </c>
      <c r="F211" s="28">
        <f t="shared" si="141"/>
        <v>5.9794645508931224E-2</v>
      </c>
      <c r="G211" s="28">
        <f t="shared" si="141"/>
        <v>6.6857267639351681E-2</v>
      </c>
      <c r="H211" s="28">
        <f t="shared" si="141"/>
        <v>6.5079200117782565E-2</v>
      </c>
    </row>
    <row r="212" spans="1:9" ht="15.75" hidden="1" thickTop="1" x14ac:dyDescent="0.25"/>
    <row r="213" spans="1:9" hidden="1" x14ac:dyDescent="0.25">
      <c r="B213" s="2" t="s">
        <v>236</v>
      </c>
    </row>
    <row r="214" spans="1:9" hidden="1" x14ac:dyDescent="0.25">
      <c r="B214" s="2" t="s">
        <v>237</v>
      </c>
    </row>
    <row r="215" spans="1:9" hidden="1" x14ac:dyDescent="0.25">
      <c r="B215" s="2" t="s">
        <v>238</v>
      </c>
    </row>
    <row r="216" spans="1:9" hidden="1" x14ac:dyDescent="0.25"/>
    <row r="218" spans="1:9" x14ac:dyDescent="0.25">
      <c r="A218" s="75" t="str">
        <f>+A1</f>
        <v>Kraft Heinz Company</v>
      </c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75" t="s">
        <v>239</v>
      </c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75" t="str">
        <f>+A3</f>
        <v>in millions except per share data</v>
      </c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76" t="s">
        <v>479</v>
      </c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thickBot="1" x14ac:dyDescent="0.3">
      <c r="A223" s="44" t="s">
        <v>240</v>
      </c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43" t="s">
        <v>241</v>
      </c>
      <c r="B224" s="8">
        <f>+B106</f>
        <v>2469</v>
      </c>
    </row>
    <row r="225" spans="1:11" x14ac:dyDescent="0.25">
      <c r="A225" s="43" t="s">
        <v>242</v>
      </c>
      <c r="B225" s="27">
        <f>+B108</f>
        <v>-916</v>
      </c>
    </row>
    <row r="226" spans="1:11" x14ac:dyDescent="0.25">
      <c r="A226" s="43" t="s">
        <v>243</v>
      </c>
      <c r="B226" s="2">
        <f>+B225+B224</f>
        <v>1553</v>
      </c>
    </row>
    <row r="227" spans="1:11" x14ac:dyDescent="0.25">
      <c r="A227" s="43" t="s">
        <v>244</v>
      </c>
      <c r="B227" s="2">
        <f>+B64*0.75</f>
        <v>690.75</v>
      </c>
    </row>
    <row r="228" spans="1:11" ht="15.75" thickBot="1" x14ac:dyDescent="0.3">
      <c r="A228" s="43" t="s">
        <v>239</v>
      </c>
      <c r="B228" s="9">
        <f>+B227+B226</f>
        <v>2243.75</v>
      </c>
      <c r="C228" s="2">
        <v>10</v>
      </c>
      <c r="D228" s="51">
        <f>+C228*B228</f>
        <v>22437.5</v>
      </c>
    </row>
    <row r="229" spans="1:11" ht="15.75" thickTop="1" x14ac:dyDescent="0.25">
      <c r="A229" s="1"/>
    </row>
    <row r="230" spans="1:11" ht="15.75" thickBot="1" x14ac:dyDescent="0.3">
      <c r="A230" s="44" t="s">
        <v>246</v>
      </c>
    </row>
    <row r="231" spans="1:11" ht="15.75" thickBot="1" x14ac:dyDescent="0.3">
      <c r="A231" s="43" t="s">
        <v>247</v>
      </c>
      <c r="B231" s="8">
        <f>+B63</f>
        <v>3634</v>
      </c>
      <c r="E231" s="48" t="s">
        <v>248</v>
      </c>
      <c r="F231" s="48"/>
      <c r="G231" s="49">
        <v>2022</v>
      </c>
      <c r="H231" s="49">
        <v>2022</v>
      </c>
      <c r="I231" s="50" t="s">
        <v>13</v>
      </c>
      <c r="J231" s="30"/>
      <c r="K231" s="30"/>
    </row>
    <row r="232" spans="1:11" x14ac:dyDescent="0.25">
      <c r="A232" s="43" t="s">
        <v>249</v>
      </c>
      <c r="B232" s="52">
        <f>1-0.25</f>
        <v>0.75</v>
      </c>
      <c r="E232" s="31" t="s">
        <v>250</v>
      </c>
      <c r="G232" s="8">
        <f>+B13</f>
        <v>7897</v>
      </c>
      <c r="H232" s="8">
        <f>+C13</f>
        <v>8994</v>
      </c>
      <c r="I232" s="30"/>
      <c r="J232" s="46"/>
      <c r="K232" s="30"/>
    </row>
    <row r="233" spans="1:11" x14ac:dyDescent="0.25">
      <c r="A233" s="43" t="s">
        <v>251</v>
      </c>
      <c r="B233" s="2">
        <f>+B231*B232</f>
        <v>2725.5</v>
      </c>
      <c r="E233" s="31" t="s">
        <v>252</v>
      </c>
      <c r="G233" s="27">
        <f>-B28</f>
        <v>-9028</v>
      </c>
      <c r="H233" s="27">
        <f>-C28</f>
        <v>-9064</v>
      </c>
      <c r="I233" s="30"/>
      <c r="J233" s="47"/>
      <c r="K233" s="30"/>
    </row>
    <row r="234" spans="1:11" x14ac:dyDescent="0.25">
      <c r="A234" s="45" t="s">
        <v>253</v>
      </c>
      <c r="B234" s="2">
        <f>+B84</f>
        <v>933</v>
      </c>
      <c r="E234" s="31" t="s">
        <v>254</v>
      </c>
      <c r="G234" s="2">
        <f>+G233+G232</f>
        <v>-1131</v>
      </c>
      <c r="H234" s="2">
        <f>+H233+H232</f>
        <v>-70</v>
      </c>
      <c r="I234" s="30"/>
      <c r="J234" s="47"/>
      <c r="K234" s="30"/>
    </row>
    <row r="235" spans="1:11" x14ac:dyDescent="0.25">
      <c r="A235" s="45" t="s">
        <v>255</v>
      </c>
      <c r="B235" s="2">
        <f>+I236</f>
        <v>970</v>
      </c>
      <c r="E235" s="31" t="s">
        <v>256</v>
      </c>
      <c r="G235" s="2">
        <f>+B21</f>
        <v>831</v>
      </c>
      <c r="H235" s="2">
        <f>+C21</f>
        <v>740</v>
      </c>
      <c r="I235" s="30"/>
      <c r="J235" s="47"/>
      <c r="K235" s="30"/>
    </row>
    <row r="236" spans="1:11" ht="15.75" thickBot="1" x14ac:dyDescent="0.3">
      <c r="A236" s="45" t="s">
        <v>257</v>
      </c>
      <c r="B236" s="2">
        <f>+B225</f>
        <v>-916</v>
      </c>
      <c r="E236" s="31" t="s">
        <v>258</v>
      </c>
      <c r="G236" s="9">
        <f>+G235+G234</f>
        <v>-300</v>
      </c>
      <c r="H236" s="9">
        <f>+H235+H234</f>
        <v>670</v>
      </c>
      <c r="I236" s="32">
        <f>+H236-G236</f>
        <v>970</v>
      </c>
      <c r="J236" s="46"/>
      <c r="K236" s="30"/>
    </row>
    <row r="237" spans="1:11" ht="16.5" thickTop="1" thickBot="1" x14ac:dyDescent="0.3">
      <c r="A237" s="43" t="s">
        <v>245</v>
      </c>
      <c r="B237" s="9">
        <f>SUM(B233:B236)</f>
        <v>3712.5</v>
      </c>
      <c r="C237" s="2">
        <f>+C228</f>
        <v>10</v>
      </c>
      <c r="D237" s="51">
        <f>+C237*B237</f>
        <v>37125</v>
      </c>
    </row>
    <row r="238" spans="1:11" ht="15.75" thickTop="1" x14ac:dyDescent="0.25">
      <c r="A238" s="1"/>
    </row>
    <row r="239" spans="1:11" x14ac:dyDescent="0.25">
      <c r="A239" s="1" t="s">
        <v>259</v>
      </c>
      <c r="B239" s="8">
        <f>+B228-B237</f>
        <v>-1468.75</v>
      </c>
      <c r="D239" s="8">
        <f>+D228-D237</f>
        <v>-14687.5</v>
      </c>
    </row>
    <row r="240" spans="1:11" x14ac:dyDescent="0.25">
      <c r="A240" s="43" t="s">
        <v>260</v>
      </c>
      <c r="B240" s="25">
        <f>+B239/B237</f>
        <v>-0.3956228956228956</v>
      </c>
      <c r="C240" s="1"/>
      <c r="D240" s="25">
        <f>+D239/D237</f>
        <v>-0.3956228956228956</v>
      </c>
      <c r="E240" s="1"/>
      <c r="F240" s="1"/>
      <c r="G240" s="1"/>
      <c r="H240" s="1"/>
      <c r="I24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656-E320-499B-8E9F-D56F924489BD}">
  <dimension ref="A1:X233"/>
  <sheetViews>
    <sheetView zoomScale="80" zoomScaleNormal="80" workbookViewId="0">
      <selection activeCell="I232" sqref="I232"/>
    </sheetView>
  </sheetViews>
  <sheetFormatPr defaultColWidth="9.140625" defaultRowHeight="15" x14ac:dyDescent="0.25"/>
  <cols>
    <col min="1" max="1" width="40.7109375" style="2" customWidth="1"/>
    <col min="2" max="8" width="10.7109375" style="2" customWidth="1"/>
    <col min="9" max="9" width="9.140625" style="2"/>
    <col min="10" max="23" width="8.7109375" style="2" customWidth="1"/>
    <col min="24" max="24" width="10" style="2" customWidth="1"/>
    <col min="25" max="16384" width="9.140625" style="2"/>
  </cols>
  <sheetData>
    <row r="1" spans="1:24" s="53" customFormat="1" x14ac:dyDescent="0.25">
      <c r="A1" s="66" t="s">
        <v>0</v>
      </c>
      <c r="B1" s="66" t="s">
        <v>261</v>
      </c>
      <c r="C1" s="66"/>
      <c r="D1" s="66"/>
      <c r="E1" s="66"/>
      <c r="F1" s="66"/>
      <c r="G1" s="66"/>
      <c r="J1" s="66" t="str">
        <f>+B1</f>
        <v>Reclassified</v>
      </c>
      <c r="K1" s="66"/>
      <c r="L1" s="66"/>
      <c r="M1" s="66"/>
      <c r="N1" s="66"/>
      <c r="O1" s="66"/>
      <c r="R1" s="66" t="str">
        <f>+B1</f>
        <v>Reclassified</v>
      </c>
      <c r="S1" s="66"/>
      <c r="T1" s="66"/>
      <c r="U1" s="66"/>
      <c r="V1" s="66"/>
      <c r="W1" s="66"/>
      <c r="X1" s="66"/>
    </row>
    <row r="2" spans="1:24" s="53" customFormat="1" x14ac:dyDescent="0.25">
      <c r="A2" s="66" t="s">
        <v>61</v>
      </c>
      <c r="B2" s="66"/>
      <c r="C2" s="66"/>
      <c r="D2" s="66"/>
      <c r="E2" s="66"/>
      <c r="F2" s="66"/>
      <c r="G2" s="66"/>
      <c r="J2" s="66" t="s">
        <v>62</v>
      </c>
      <c r="K2" s="66"/>
      <c r="L2" s="66"/>
      <c r="M2" s="66"/>
      <c r="N2" s="66"/>
      <c r="O2" s="66"/>
      <c r="R2" s="66" t="s">
        <v>63</v>
      </c>
      <c r="S2" s="66"/>
      <c r="T2" s="66"/>
      <c r="U2" s="66"/>
      <c r="V2" s="66"/>
      <c r="W2" s="66"/>
      <c r="X2" s="66"/>
    </row>
    <row r="3" spans="1:24" s="53" customFormat="1" x14ac:dyDescent="0.25">
      <c r="A3" s="66" t="s">
        <v>64</v>
      </c>
      <c r="B3" s="66"/>
      <c r="C3" s="66"/>
      <c r="D3" s="66"/>
      <c r="E3" s="66"/>
      <c r="F3" s="66" t="s">
        <v>262</v>
      </c>
      <c r="G3" s="72" t="s">
        <v>66</v>
      </c>
      <c r="H3" s="65"/>
      <c r="J3" s="66"/>
      <c r="K3" s="66"/>
      <c r="L3" s="66"/>
      <c r="M3" s="66"/>
      <c r="N3" s="66"/>
      <c r="O3" s="72" t="s">
        <v>66</v>
      </c>
      <c r="P3" s="65"/>
      <c r="R3" s="66" t="s">
        <v>67</v>
      </c>
      <c r="S3" s="66" t="s">
        <v>68</v>
      </c>
      <c r="T3" s="66" t="s">
        <v>69</v>
      </c>
      <c r="U3" s="66" t="s">
        <v>70</v>
      </c>
      <c r="V3" s="66" t="s">
        <v>71</v>
      </c>
      <c r="W3" s="66" t="s">
        <v>72</v>
      </c>
      <c r="X3" s="66" t="s">
        <v>73</v>
      </c>
    </row>
    <row r="4" spans="1:24" s="53" customFormat="1" ht="15.75" thickBot="1" x14ac:dyDescent="0.3">
      <c r="A4" s="67" t="s">
        <v>518</v>
      </c>
      <c r="B4" s="69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77"/>
      <c r="J4" s="69">
        <v>2022</v>
      </c>
      <c r="K4" s="69">
        <v>2021</v>
      </c>
      <c r="L4" s="69">
        <v>2020</v>
      </c>
      <c r="M4" s="69">
        <v>2019</v>
      </c>
      <c r="N4" s="69">
        <v>2018</v>
      </c>
      <c r="O4" s="69">
        <v>2017</v>
      </c>
      <c r="P4" s="77"/>
      <c r="R4" s="70" t="s">
        <v>75</v>
      </c>
      <c r="S4" s="70" t="s">
        <v>76</v>
      </c>
      <c r="T4" s="71">
        <v>2022</v>
      </c>
      <c r="U4" s="71">
        <v>2021</v>
      </c>
      <c r="V4" s="71">
        <v>2020</v>
      </c>
      <c r="W4" s="71">
        <v>2019</v>
      </c>
      <c r="X4" s="71">
        <v>2018</v>
      </c>
    </row>
    <row r="5" spans="1:24" x14ac:dyDescent="0.25">
      <c r="A5" s="2" t="s">
        <v>77</v>
      </c>
    </row>
    <row r="6" spans="1:24" x14ac:dyDescent="0.25">
      <c r="A6" s="5" t="s">
        <v>78</v>
      </c>
      <c r="B6" s="8">
        <v>1040</v>
      </c>
      <c r="C6" s="8">
        <v>3445</v>
      </c>
      <c r="D6" s="8">
        <v>3417</v>
      </c>
      <c r="E6" s="8">
        <v>2279</v>
      </c>
      <c r="F6" s="8">
        <v>1130</v>
      </c>
      <c r="G6" s="8">
        <v>1629</v>
      </c>
      <c r="H6" s="8"/>
      <c r="J6" s="25">
        <f t="shared" ref="J6:O6" si="0">+B6/B$21</f>
        <v>1.14900622010098E-2</v>
      </c>
      <c r="K6" s="25">
        <f t="shared" si="0"/>
        <v>3.6886737906075336E-2</v>
      </c>
      <c r="L6" s="25">
        <f t="shared" si="0"/>
        <v>3.4228187919463089E-2</v>
      </c>
      <c r="M6" s="25">
        <f t="shared" si="0"/>
        <v>2.2464268112370626E-2</v>
      </c>
      <c r="N6" s="25">
        <f t="shared" si="0"/>
        <v>1.0921989928572119E-2</v>
      </c>
      <c r="O6" s="25">
        <f t="shared" si="0"/>
        <v>1.3564600472970723E-2</v>
      </c>
      <c r="P6" s="25"/>
      <c r="R6" s="25">
        <f>RATE(5,0,-G6,B6)</f>
        <v>-8.5839501919465239E-2</v>
      </c>
      <c r="S6" s="25">
        <f>AVERAGE(T6:X6)</f>
        <v>0.10398283867061812</v>
      </c>
      <c r="T6" s="25">
        <f>(+B6-C6)/C6</f>
        <v>-0.69811320754716977</v>
      </c>
      <c r="U6" s="25">
        <f>(+C6-D6)/D6</f>
        <v>8.194322505121452E-3</v>
      </c>
      <c r="V6" s="25">
        <f>(+D6-E6)/E6</f>
        <v>0.49934181658622201</v>
      </c>
      <c r="W6" s="25">
        <f>(+E6-F6)/F6</f>
        <v>1.0168141592920354</v>
      </c>
      <c r="X6" s="25">
        <f>(+F6-G6)/G6</f>
        <v>-0.30632289748311847</v>
      </c>
    </row>
    <row r="7" spans="1:24" x14ac:dyDescent="0.25">
      <c r="A7" s="5" t="s">
        <v>263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J7" s="25"/>
      <c r="K7" s="25"/>
      <c r="L7" s="25"/>
      <c r="M7" s="25"/>
      <c r="N7" s="25"/>
      <c r="O7" s="25"/>
      <c r="P7" s="25"/>
      <c r="R7" s="25"/>
      <c r="S7" s="25"/>
      <c r="T7" s="25"/>
      <c r="U7" s="25"/>
      <c r="V7" s="25"/>
      <c r="W7" s="25"/>
      <c r="X7" s="25"/>
    </row>
    <row r="8" spans="1:24" x14ac:dyDescent="0.25">
      <c r="A8" s="5" t="s">
        <v>18</v>
      </c>
      <c r="B8" s="2">
        <v>2120</v>
      </c>
      <c r="C8" s="2">
        <v>1957</v>
      </c>
      <c r="D8" s="2">
        <v>2063</v>
      </c>
      <c r="E8" s="2">
        <v>1973</v>
      </c>
      <c r="F8" s="2">
        <v>2129</v>
      </c>
      <c r="G8" s="2">
        <v>921</v>
      </c>
      <c r="J8" s="25">
        <f t="shared" ref="J8:J17" si="1">+B8/B$21</f>
        <v>2.3422049871289208E-2</v>
      </c>
      <c r="K8" s="25">
        <f t="shared" ref="K8:K17" si="2">+C8/C$21</f>
        <v>2.095423688887937E-2</v>
      </c>
      <c r="L8" s="25">
        <f t="shared" ref="L8:L17" si="3">+D8/D$21</f>
        <v>2.0665130722227788E-2</v>
      </c>
      <c r="M8" s="25">
        <f t="shared" ref="M8:M17" si="4">+E8/E$21</f>
        <v>1.944800394282898E-2</v>
      </c>
      <c r="N8" s="25">
        <f t="shared" ref="N8:N17" si="5">+F8/F$21</f>
        <v>2.0577802263654903E-2</v>
      </c>
      <c r="O8" s="25">
        <f t="shared" ref="O8:O17" si="6">+G8/G$21</f>
        <v>7.669120341071845E-3</v>
      </c>
      <c r="P8" s="25"/>
      <c r="R8" s="25">
        <f t="shared" ref="R8:R21" si="7">RATE(5,0,-G8,B8)</f>
        <v>0.18144972663460698</v>
      </c>
      <c r="S8" s="25">
        <f t="shared" ref="S8:S21" si="8">AVERAGE(T8:X8)</f>
        <v>0.26317381012087437</v>
      </c>
      <c r="T8" s="25">
        <f t="shared" ref="T8:T21" si="9">(+B8-C8)/C8</f>
        <v>8.3290751149718956E-2</v>
      </c>
      <c r="U8" s="25">
        <f t="shared" ref="U8:X11" si="10">(+C8-D8)/D8</f>
        <v>-5.1381483276781388E-2</v>
      </c>
      <c r="V8" s="25">
        <f t="shared" si="10"/>
        <v>4.5615813482007099E-2</v>
      </c>
      <c r="W8" s="25">
        <f t="shared" si="10"/>
        <v>-7.3273837482386098E-2</v>
      </c>
      <c r="X8" s="25">
        <f t="shared" si="10"/>
        <v>1.3116178067318132</v>
      </c>
    </row>
    <row r="9" spans="1:24" x14ac:dyDescent="0.25">
      <c r="A9" s="5" t="s">
        <v>19</v>
      </c>
      <c r="B9" s="2">
        <v>3651</v>
      </c>
      <c r="C9" s="2">
        <v>2729</v>
      </c>
      <c r="D9" s="2">
        <v>2554</v>
      </c>
      <c r="E9" s="2">
        <v>2721</v>
      </c>
      <c r="F9" s="2">
        <v>2667</v>
      </c>
      <c r="G9" s="2">
        <v>2760</v>
      </c>
      <c r="J9" s="25">
        <f t="shared" si="1"/>
        <v>4.0336747207583443E-2</v>
      </c>
      <c r="K9" s="25">
        <f t="shared" si="2"/>
        <v>2.9220292524145021E-2</v>
      </c>
      <c r="L9" s="25">
        <f t="shared" si="3"/>
        <v>2.5583491936291697E-2</v>
      </c>
      <c r="M9" s="25">
        <f t="shared" si="4"/>
        <v>2.6821094135041891E-2</v>
      </c>
      <c r="N9" s="25">
        <f t="shared" si="5"/>
        <v>2.5777829326992779E-2</v>
      </c>
      <c r="O9" s="25">
        <f t="shared" si="6"/>
        <v>2.2982380175199015E-2</v>
      </c>
      <c r="P9" s="33"/>
      <c r="Q9" s="30"/>
      <c r="R9" s="25">
        <f t="shared" si="7"/>
        <v>5.7549124818983735E-2</v>
      </c>
      <c r="S9" s="25">
        <f t="shared" si="8"/>
        <v>6.6309996838441923E-2</v>
      </c>
      <c r="T9" s="25">
        <f t="shared" si="9"/>
        <v>0.337852693294247</v>
      </c>
      <c r="U9" s="25">
        <f t="shared" si="10"/>
        <v>6.8519968676585746E-2</v>
      </c>
      <c r="V9" s="25">
        <f t="shared" si="10"/>
        <v>-6.1374494671076807E-2</v>
      </c>
      <c r="W9" s="25">
        <f t="shared" si="10"/>
        <v>2.0247469066366704E-2</v>
      </c>
      <c r="X9" s="25">
        <f t="shared" si="10"/>
        <v>-3.3695652173913043E-2</v>
      </c>
    </row>
    <row r="10" spans="1:24" x14ac:dyDescent="0.25">
      <c r="A10" s="5" t="s">
        <v>20</v>
      </c>
      <c r="B10" s="2">
        <f>+B192</f>
        <v>1086</v>
      </c>
      <c r="C10" s="2">
        <f t="shared" ref="C10:G10" si="11">+C192</f>
        <v>863</v>
      </c>
      <c r="D10" s="2">
        <f t="shared" si="11"/>
        <v>2788</v>
      </c>
      <c r="E10" s="2">
        <f t="shared" si="11"/>
        <v>1124</v>
      </c>
      <c r="F10" s="2">
        <f t="shared" si="11"/>
        <v>3149</v>
      </c>
      <c r="G10" s="2">
        <f t="shared" si="11"/>
        <v>1891</v>
      </c>
      <c r="J10" s="26">
        <f t="shared" si="1"/>
        <v>1.1998276490669849E-2</v>
      </c>
      <c r="K10" s="26">
        <f t="shared" si="2"/>
        <v>9.2404222969355628E-3</v>
      </c>
      <c r="L10" s="26">
        <f t="shared" si="3"/>
        <v>2.7927476710407694E-2</v>
      </c>
      <c r="M10" s="26">
        <f t="shared" si="4"/>
        <v>1.1079349433218335E-2</v>
      </c>
      <c r="N10" s="26">
        <f t="shared" si="5"/>
        <v>3.0436589632808497E-2</v>
      </c>
      <c r="O10" s="26">
        <f t="shared" si="6"/>
        <v>1.5746261199746862E-2</v>
      </c>
      <c r="P10" s="33"/>
      <c r="Q10" s="30"/>
      <c r="R10" s="26">
        <f t="shared" si="7"/>
        <v>-0.10499047081771275</v>
      </c>
      <c r="S10" s="26">
        <f t="shared" si="8"/>
        <v>0.2141128103088957</v>
      </c>
      <c r="T10" s="26">
        <f t="shared" si="9"/>
        <v>0.25840092699884126</v>
      </c>
      <c r="U10" s="26">
        <f t="shared" si="10"/>
        <v>-0.69045911047345765</v>
      </c>
      <c r="V10" s="26">
        <f t="shared" si="10"/>
        <v>1.4804270462633451</v>
      </c>
      <c r="W10" s="26">
        <f t="shared" si="10"/>
        <v>-0.64306128929818995</v>
      </c>
      <c r="X10" s="26">
        <f t="shared" si="10"/>
        <v>0.66525647805393973</v>
      </c>
    </row>
    <row r="11" spans="1:24" x14ac:dyDescent="0.25">
      <c r="A11" s="2" t="s">
        <v>21</v>
      </c>
      <c r="B11" s="6">
        <f t="shared" ref="B11:G11" si="12">SUM(B6:B10)</f>
        <v>7897</v>
      </c>
      <c r="C11" s="6">
        <f t="shared" si="12"/>
        <v>8994</v>
      </c>
      <c r="D11" s="6">
        <f t="shared" si="12"/>
        <v>10822</v>
      </c>
      <c r="E11" s="6">
        <f t="shared" si="12"/>
        <v>8097</v>
      </c>
      <c r="F11" s="6">
        <f t="shared" si="12"/>
        <v>9075</v>
      </c>
      <c r="G11" s="6">
        <f t="shared" si="12"/>
        <v>7201</v>
      </c>
      <c r="H11" s="30"/>
      <c r="J11" s="25">
        <f t="shared" si="1"/>
        <v>8.7247135770552292E-2</v>
      </c>
      <c r="K11" s="25">
        <f t="shared" si="2"/>
        <v>9.6301689616035288E-2</v>
      </c>
      <c r="L11" s="25">
        <f t="shared" si="3"/>
        <v>0.10840428728839026</v>
      </c>
      <c r="M11" s="25">
        <f t="shared" si="4"/>
        <v>7.9812715623459832E-2</v>
      </c>
      <c r="N11" s="25">
        <f t="shared" si="5"/>
        <v>8.7714211152028307E-2</v>
      </c>
      <c r="O11" s="25">
        <f t="shared" si="6"/>
        <v>5.9962362188988441E-2</v>
      </c>
      <c r="P11" s="33"/>
      <c r="Q11" s="30"/>
      <c r="R11" s="25">
        <f t="shared" si="7"/>
        <v>1.8623908433372451E-2</v>
      </c>
      <c r="S11" s="25">
        <f t="shared" si="8"/>
        <v>3.9626412414418111E-2</v>
      </c>
      <c r="T11" s="25">
        <f t="shared" si="9"/>
        <v>-0.12197020235712697</v>
      </c>
      <c r="U11" s="25">
        <f t="shared" si="10"/>
        <v>-0.16891517279615598</v>
      </c>
      <c r="V11" s="25">
        <f t="shared" si="10"/>
        <v>0.33654439916018281</v>
      </c>
      <c r="W11" s="25">
        <f t="shared" si="10"/>
        <v>-0.10776859504132232</v>
      </c>
      <c r="X11" s="25">
        <f t="shared" si="10"/>
        <v>0.26024163310651299</v>
      </c>
    </row>
    <row r="12" spans="1:24" x14ac:dyDescent="0.25">
      <c r="A12" s="31" t="s">
        <v>187</v>
      </c>
      <c r="B12" s="30">
        <f>+B170</f>
        <v>200</v>
      </c>
      <c r="C12" s="30">
        <f t="shared" ref="C12:G12" si="13">+C170</f>
        <v>207</v>
      </c>
      <c r="D12" s="30">
        <f t="shared" si="13"/>
        <v>219</v>
      </c>
      <c r="E12" s="30">
        <f t="shared" si="13"/>
        <v>210</v>
      </c>
      <c r="F12" s="30">
        <f t="shared" si="13"/>
        <v>218</v>
      </c>
      <c r="G12" s="30">
        <f t="shared" si="13"/>
        <v>250</v>
      </c>
      <c r="H12" s="30"/>
      <c r="J12" s="25">
        <f t="shared" si="1"/>
        <v>2.2096273463480384E-3</v>
      </c>
      <c r="K12" s="25">
        <f t="shared" si="2"/>
        <v>2.2164164721502452E-3</v>
      </c>
      <c r="L12" s="25">
        <f t="shared" si="3"/>
        <v>2.1937293398777923E-3</v>
      </c>
      <c r="M12" s="25">
        <f t="shared" si="4"/>
        <v>2.0699852143913258E-3</v>
      </c>
      <c r="N12" s="25">
        <f t="shared" si="5"/>
        <v>2.1070741632112583E-3</v>
      </c>
      <c r="O12" s="25">
        <f t="shared" si="6"/>
        <v>2.0817373347100554E-3</v>
      </c>
      <c r="P12" s="33"/>
      <c r="Q12" s="30"/>
      <c r="R12" s="25">
        <f t="shared" ref="R12:R16" si="14">RATE(5,0,-G12,B12)</f>
        <v>-4.3647500209735325E-2</v>
      </c>
      <c r="S12" s="25">
        <f t="shared" ref="S12:S16" si="15">AVERAGE(T12:X12)</f>
        <v>-4.2090210103599465E-2</v>
      </c>
      <c r="T12" s="25">
        <f t="shared" ref="T12:T16" si="16">(+B12-C12)/C12</f>
        <v>-3.3816425120772944E-2</v>
      </c>
      <c r="U12" s="25">
        <f t="shared" ref="U12:U16" si="17">(+C12-D12)/D12</f>
        <v>-5.4794520547945202E-2</v>
      </c>
      <c r="V12" s="25">
        <f t="shared" ref="V12:V16" si="18">(+D12-E12)/E12</f>
        <v>4.2857142857142858E-2</v>
      </c>
      <c r="W12" s="25">
        <f t="shared" ref="W12:W16" si="19">(+E12-F12)/F12</f>
        <v>-3.669724770642202E-2</v>
      </c>
      <c r="X12" s="25">
        <f t="shared" ref="X12:X16" si="20">(+F12-G12)/G12</f>
        <v>-0.128</v>
      </c>
    </row>
    <row r="13" spans="1:24" x14ac:dyDescent="0.25">
      <c r="A13" s="31" t="s">
        <v>188</v>
      </c>
      <c r="B13" s="30">
        <f t="shared" ref="B13:G16" si="21">+B171</f>
        <v>1161</v>
      </c>
      <c r="C13" s="30">
        <f t="shared" si="21"/>
        <v>1002</v>
      </c>
      <c r="D13" s="30">
        <f t="shared" si="21"/>
        <v>792</v>
      </c>
      <c r="E13" s="30">
        <f t="shared" si="21"/>
        <v>1033</v>
      </c>
      <c r="F13" s="30">
        <f t="shared" si="21"/>
        <v>1165</v>
      </c>
      <c r="G13" s="30">
        <f t="shared" si="21"/>
        <v>1345</v>
      </c>
      <c r="H13" s="30"/>
      <c r="J13" s="25">
        <f t="shared" si="1"/>
        <v>1.2826886745550364E-2</v>
      </c>
      <c r="K13" s="25">
        <f t="shared" si="2"/>
        <v>1.0728740604321477E-2</v>
      </c>
      <c r="L13" s="25">
        <f t="shared" si="3"/>
        <v>7.9334869277772214E-3</v>
      </c>
      <c r="M13" s="25">
        <f t="shared" si="4"/>
        <v>1.0182355840315425E-2</v>
      </c>
      <c r="N13" s="25">
        <f t="shared" si="5"/>
        <v>1.1260281652023467E-2</v>
      </c>
      <c r="O13" s="25">
        <f t="shared" si="6"/>
        <v>1.1199746860740099E-2</v>
      </c>
      <c r="P13" s="33"/>
      <c r="Q13" s="30"/>
      <c r="R13" s="25">
        <f t="shared" si="14"/>
        <v>-2.8993835467276595E-2</v>
      </c>
      <c r="S13" s="25">
        <f t="shared" si="15"/>
        <v>-1.1320126458029781E-2</v>
      </c>
      <c r="T13" s="25">
        <f t="shared" si="16"/>
        <v>0.15868263473053892</v>
      </c>
      <c r="U13" s="25">
        <f t="shared" si="17"/>
        <v>0.26515151515151514</v>
      </c>
      <c r="V13" s="25">
        <f t="shared" si="18"/>
        <v>-0.23330106485963215</v>
      </c>
      <c r="W13" s="25">
        <f t="shared" si="19"/>
        <v>-0.11330472103004292</v>
      </c>
      <c r="X13" s="25">
        <f t="shared" si="20"/>
        <v>-0.13382899628252787</v>
      </c>
    </row>
    <row r="14" spans="1:24" x14ac:dyDescent="0.25">
      <c r="A14" s="31" t="s">
        <v>189</v>
      </c>
      <c r="B14" s="27">
        <f t="shared" si="21"/>
        <v>9591</v>
      </c>
      <c r="C14" s="27">
        <f t="shared" si="21"/>
        <v>9465</v>
      </c>
      <c r="D14" s="27">
        <f t="shared" si="21"/>
        <v>9428</v>
      </c>
      <c r="E14" s="27">
        <f t="shared" si="21"/>
        <v>8999</v>
      </c>
      <c r="F14" s="27">
        <f t="shared" si="21"/>
        <v>8279</v>
      </c>
      <c r="G14" s="27">
        <f t="shared" si="21"/>
        <v>7555</v>
      </c>
      <c r="H14" s="30"/>
      <c r="J14" s="26">
        <f t="shared" si="1"/>
        <v>0.10596267939412018</v>
      </c>
      <c r="K14" s="26">
        <f t="shared" si="2"/>
        <v>0.10134484013962353</v>
      </c>
      <c r="L14" s="26">
        <f t="shared" si="3"/>
        <v>9.4440548933186416E-2</v>
      </c>
      <c r="M14" s="26">
        <f t="shared" si="4"/>
        <v>8.8703794972893046E-2</v>
      </c>
      <c r="N14" s="26">
        <f t="shared" si="5"/>
        <v>8.0020490812963335E-2</v>
      </c>
      <c r="O14" s="26">
        <f t="shared" si="6"/>
        <v>6.2910102254937886E-2</v>
      </c>
      <c r="P14" s="33"/>
      <c r="Q14" s="30"/>
      <c r="R14" s="26">
        <f t="shared" si="14"/>
        <v>4.8880193408491791E-2</v>
      </c>
      <c r="S14" s="26">
        <f t="shared" si="15"/>
        <v>4.9541249491260528E-2</v>
      </c>
      <c r="T14" s="26">
        <f t="shared" si="16"/>
        <v>1.3312202852614897E-2</v>
      </c>
      <c r="U14" s="26">
        <f t="shared" si="17"/>
        <v>3.9244802715316081E-3</v>
      </c>
      <c r="V14" s="26">
        <f t="shared" si="18"/>
        <v>4.7671963551505721E-2</v>
      </c>
      <c r="W14" s="26">
        <f t="shared" si="19"/>
        <v>8.6967025003019685E-2</v>
      </c>
      <c r="X14" s="26">
        <f t="shared" si="20"/>
        <v>9.5830575777630711E-2</v>
      </c>
    </row>
    <row r="15" spans="1:24" x14ac:dyDescent="0.25">
      <c r="A15" s="31" t="s">
        <v>264</v>
      </c>
      <c r="B15" s="30">
        <f t="shared" si="21"/>
        <v>10952</v>
      </c>
      <c r="C15" s="30">
        <f t="shared" si="21"/>
        <v>10674</v>
      </c>
      <c r="D15" s="30">
        <f t="shared" si="21"/>
        <v>10439</v>
      </c>
      <c r="E15" s="30">
        <f t="shared" si="21"/>
        <v>10242</v>
      </c>
      <c r="F15" s="30">
        <f t="shared" si="21"/>
        <v>9662</v>
      </c>
      <c r="G15" s="30">
        <f t="shared" si="21"/>
        <v>9150</v>
      </c>
      <c r="H15" s="30"/>
      <c r="J15" s="25">
        <f t="shared" si="1"/>
        <v>0.12099919348601858</v>
      </c>
      <c r="K15" s="25">
        <f t="shared" si="2"/>
        <v>0.11428999721609526</v>
      </c>
      <c r="L15" s="25">
        <f t="shared" si="3"/>
        <v>0.10456776520084143</v>
      </c>
      <c r="M15" s="25">
        <f t="shared" si="4"/>
        <v>0.1009561360275998</v>
      </c>
      <c r="N15" s="25">
        <f t="shared" si="5"/>
        <v>9.338784662819806E-2</v>
      </c>
      <c r="O15" s="25">
        <f t="shared" si="6"/>
        <v>7.6191586450388038E-2</v>
      </c>
      <c r="P15" s="33"/>
      <c r="Q15" s="30"/>
      <c r="R15" s="25">
        <f t="shared" si="14"/>
        <v>3.6607790043669146E-2</v>
      </c>
      <c r="S15" s="25">
        <f t="shared" si="15"/>
        <v>3.6755223469835667E-2</v>
      </c>
      <c r="T15" s="25">
        <f t="shared" si="16"/>
        <v>2.6044594341390295E-2</v>
      </c>
      <c r="U15" s="25">
        <f t="shared" si="17"/>
        <v>2.2511734840501965E-2</v>
      </c>
      <c r="V15" s="25">
        <f t="shared" si="18"/>
        <v>1.9234524506932239E-2</v>
      </c>
      <c r="W15" s="25">
        <f t="shared" si="19"/>
        <v>6.0028979507348375E-2</v>
      </c>
      <c r="X15" s="25">
        <f t="shared" si="20"/>
        <v>5.5956284153005464E-2</v>
      </c>
    </row>
    <row r="16" spans="1:24" x14ac:dyDescent="0.25">
      <c r="A16" s="31" t="s">
        <v>191</v>
      </c>
      <c r="B16" s="27">
        <f t="shared" si="21"/>
        <v>-4212</v>
      </c>
      <c r="C16" s="27">
        <f t="shared" si="21"/>
        <v>-3868</v>
      </c>
      <c r="D16" s="27">
        <f t="shared" si="21"/>
        <v>-3563</v>
      </c>
      <c r="E16" s="27">
        <f t="shared" si="21"/>
        <v>-3187</v>
      </c>
      <c r="F16" s="27">
        <f t="shared" si="21"/>
        <v>-2584</v>
      </c>
      <c r="G16" s="27">
        <f t="shared" si="21"/>
        <v>-2089</v>
      </c>
      <c r="H16" s="30"/>
      <c r="J16" s="26">
        <f t="shared" si="1"/>
        <v>-4.6534751914089692E-2</v>
      </c>
      <c r="K16" s="26">
        <f t="shared" si="2"/>
        <v>-4.1415936783947574E-2</v>
      </c>
      <c r="L16" s="26">
        <f t="shared" si="3"/>
        <v>-3.5690674146048283E-2</v>
      </c>
      <c r="M16" s="26">
        <f t="shared" si="4"/>
        <v>-3.1414489896500739E-2</v>
      </c>
      <c r="N16" s="26">
        <f t="shared" si="5"/>
        <v>-2.4975594668522439E-2</v>
      </c>
      <c r="O16" s="26">
        <f t="shared" si="6"/>
        <v>-1.7394997168837224E-2</v>
      </c>
      <c r="P16" s="33"/>
      <c r="Q16" s="30"/>
      <c r="R16" s="26">
        <f t="shared" si="14"/>
        <v>0.15056188918356203</v>
      </c>
      <c r="S16" s="26">
        <f t="shared" si="15"/>
        <v>0.15256615518164868</v>
      </c>
      <c r="T16" s="26">
        <f t="shared" si="16"/>
        <v>8.8934850051706302E-2</v>
      </c>
      <c r="U16" s="26">
        <f t="shared" si="17"/>
        <v>8.560202076901488E-2</v>
      </c>
      <c r="V16" s="26">
        <f t="shared" si="18"/>
        <v>0.11797929086915594</v>
      </c>
      <c r="W16" s="26">
        <f t="shared" si="19"/>
        <v>0.23335913312693499</v>
      </c>
      <c r="X16" s="26">
        <f t="shared" si="20"/>
        <v>0.2369554810914313</v>
      </c>
    </row>
    <row r="17" spans="1:24" x14ac:dyDescent="0.25">
      <c r="A17" s="5" t="s">
        <v>82</v>
      </c>
      <c r="B17" s="2">
        <v>6740</v>
      </c>
      <c r="C17" s="2">
        <v>6806</v>
      </c>
      <c r="D17" s="2">
        <v>6876</v>
      </c>
      <c r="E17" s="2">
        <v>7055</v>
      </c>
      <c r="F17" s="2">
        <v>7078</v>
      </c>
      <c r="G17" s="2">
        <v>7061</v>
      </c>
      <c r="J17" s="25">
        <f t="shared" si="1"/>
        <v>7.4464441571928899E-2</v>
      </c>
      <c r="K17" s="25">
        <f t="shared" si="2"/>
        <v>7.2874060432147669E-2</v>
      </c>
      <c r="L17" s="25">
        <f t="shared" si="3"/>
        <v>6.8877091054793144E-2</v>
      </c>
      <c r="M17" s="25">
        <f t="shared" si="4"/>
        <v>6.9541646131099061E-2</v>
      </c>
      <c r="N17" s="25">
        <f t="shared" si="5"/>
        <v>6.8412251959675624E-2</v>
      </c>
      <c r="O17" s="25">
        <f t="shared" si="6"/>
        <v>5.8796589281550814E-2</v>
      </c>
      <c r="P17" s="33"/>
      <c r="Q17" s="30"/>
      <c r="R17" s="25">
        <f t="shared" si="7"/>
        <v>-9.2621911140529506E-3</v>
      </c>
      <c r="S17" s="25">
        <f t="shared" si="8"/>
        <v>-9.2183308706207286E-3</v>
      </c>
      <c r="T17" s="25">
        <f t="shared" si="9"/>
        <v>-9.6973258889215402E-3</v>
      </c>
      <c r="U17" s="25">
        <f t="shared" ref="U17:X21" si="22">(+C17-D17)/D17</f>
        <v>-1.0180337405468295E-2</v>
      </c>
      <c r="V17" s="25">
        <f t="shared" si="22"/>
        <v>-2.5372076541459957E-2</v>
      </c>
      <c r="W17" s="25">
        <f t="shared" si="22"/>
        <v>-3.2495055100310822E-3</v>
      </c>
      <c r="X17" s="25">
        <f t="shared" si="22"/>
        <v>2.407590992777227E-3</v>
      </c>
    </row>
    <row r="18" spans="1:24" x14ac:dyDescent="0.25">
      <c r="A18" s="5" t="s">
        <v>265</v>
      </c>
      <c r="B18" s="2">
        <f>+B179</f>
        <v>668</v>
      </c>
      <c r="C18" s="2">
        <f t="shared" ref="C18:G18" si="23">+C179</f>
        <v>569</v>
      </c>
      <c r="D18" s="2">
        <f t="shared" si="23"/>
        <v>562</v>
      </c>
      <c r="E18" s="2">
        <f t="shared" si="23"/>
        <v>542</v>
      </c>
      <c r="F18" s="2">
        <f t="shared" si="23"/>
        <v>0</v>
      </c>
      <c r="G18" s="2">
        <f t="shared" si="23"/>
        <v>0</v>
      </c>
      <c r="J18" s="25"/>
      <c r="K18" s="25"/>
      <c r="L18" s="25"/>
      <c r="M18" s="25"/>
      <c r="N18" s="25"/>
      <c r="O18" s="25"/>
      <c r="P18" s="33"/>
      <c r="Q18" s="30"/>
      <c r="R18" s="25"/>
      <c r="S18" s="25"/>
      <c r="T18" s="25"/>
      <c r="U18" s="25"/>
      <c r="V18" s="25"/>
      <c r="W18" s="25"/>
      <c r="X18" s="25"/>
    </row>
    <row r="19" spans="1:24" x14ac:dyDescent="0.25">
      <c r="A19" s="5" t="s">
        <v>266</v>
      </c>
      <c r="B19" s="2">
        <f>+B196</f>
        <v>73482</v>
      </c>
      <c r="C19" s="2">
        <f t="shared" ref="C19:G19" si="24">+C196</f>
        <v>74838</v>
      </c>
      <c r="D19" s="2">
        <f t="shared" si="24"/>
        <v>79756</v>
      </c>
      <c r="E19" s="2">
        <f t="shared" si="24"/>
        <v>84198</v>
      </c>
      <c r="F19" s="2">
        <f t="shared" si="24"/>
        <v>85971</v>
      </c>
      <c r="G19" s="2">
        <f t="shared" si="24"/>
        <v>104257</v>
      </c>
      <c r="J19" s="25">
        <f t="shared" ref="J19:O21" si="25">+B19/B$21</f>
        <v>0.81183918332173277</v>
      </c>
      <c r="K19" s="25">
        <f t="shared" si="25"/>
        <v>0.80131485962695681</v>
      </c>
      <c r="L19" s="25">
        <f t="shared" si="25"/>
        <v>0.79891816087348488</v>
      </c>
      <c r="M19" s="25">
        <f t="shared" si="25"/>
        <v>0.8299457861015278</v>
      </c>
      <c r="N19" s="25">
        <f t="shared" si="25"/>
        <v>0.83095079305245456</v>
      </c>
      <c r="O19" s="25">
        <f t="shared" si="25"/>
        <v>0.8681427572194651</v>
      </c>
      <c r="P19" s="33"/>
      <c r="Q19" s="30"/>
      <c r="R19" s="25">
        <f t="shared" si="7"/>
        <v>-6.7572338514843566E-2</v>
      </c>
      <c r="S19" s="25">
        <f t="shared" si="8"/>
        <v>-6.5711107885011805E-2</v>
      </c>
      <c r="T19" s="25">
        <f t="shared" si="9"/>
        <v>-1.8119137336647159E-2</v>
      </c>
      <c r="U19" s="25">
        <f t="shared" si="22"/>
        <v>-6.166307237073073E-2</v>
      </c>
      <c r="V19" s="25">
        <f t="shared" si="22"/>
        <v>-5.2756597543884655E-2</v>
      </c>
      <c r="W19" s="25">
        <f t="shared" si="22"/>
        <v>-2.0623233415919321E-2</v>
      </c>
      <c r="X19" s="25">
        <f t="shared" si="22"/>
        <v>-0.17539349875787716</v>
      </c>
    </row>
    <row r="20" spans="1:24" x14ac:dyDescent="0.25">
      <c r="A20" s="5" t="s">
        <v>25</v>
      </c>
      <c r="B20" s="2">
        <f>+B200</f>
        <v>1726</v>
      </c>
      <c r="C20" s="2">
        <f t="shared" ref="C20:G20" si="26">+C200</f>
        <v>2187</v>
      </c>
      <c r="D20" s="2">
        <f t="shared" si="26"/>
        <v>1814</v>
      </c>
      <c r="E20" s="2">
        <f t="shared" si="26"/>
        <v>1558</v>
      </c>
      <c r="F20" s="2">
        <f t="shared" si="26"/>
        <v>1337</v>
      </c>
      <c r="G20" s="2">
        <f t="shared" si="26"/>
        <v>1573</v>
      </c>
      <c r="J20" s="25">
        <f t="shared" si="25"/>
        <v>1.906908399898357E-2</v>
      </c>
      <c r="K20" s="25">
        <f t="shared" si="25"/>
        <v>2.3416921857935199E-2</v>
      </c>
      <c r="L20" s="25">
        <f t="shared" si="25"/>
        <v>1.8170890513873585E-2</v>
      </c>
      <c r="M20" s="25">
        <f t="shared" si="25"/>
        <v>1.5357318876293741E-2</v>
      </c>
      <c r="N20" s="25">
        <f t="shared" si="25"/>
        <v>1.2922743835841525E-2</v>
      </c>
      <c r="O20" s="25">
        <f t="shared" si="25"/>
        <v>1.309829130999567E-2</v>
      </c>
      <c r="P20" s="33"/>
      <c r="Q20" s="30"/>
      <c r="R20" s="25">
        <f t="shared" si="7"/>
        <v>1.8737783370035378E-2</v>
      </c>
      <c r="S20" s="25">
        <f t="shared" si="8"/>
        <v>3.4881753604939073E-2</v>
      </c>
      <c r="T20" s="25">
        <f t="shared" si="9"/>
        <v>-0.21079103795153178</v>
      </c>
      <c r="U20" s="25">
        <f t="shared" si="22"/>
        <v>0.20562293274531424</v>
      </c>
      <c r="V20" s="25">
        <f t="shared" si="22"/>
        <v>0.16431322207958921</v>
      </c>
      <c r="W20" s="25">
        <f t="shared" si="22"/>
        <v>0.16529543754674644</v>
      </c>
      <c r="X20" s="25">
        <f t="shared" si="22"/>
        <v>-0.15003178639542275</v>
      </c>
    </row>
    <row r="21" spans="1:24" ht="15.75" thickBot="1" x14ac:dyDescent="0.3">
      <c r="A21" s="2" t="s">
        <v>84</v>
      </c>
      <c r="B21" s="9">
        <f t="shared" ref="B21:G21" si="27">+B11+SUM(B17:B20)</f>
        <v>90513</v>
      </c>
      <c r="C21" s="9">
        <f t="shared" si="27"/>
        <v>93394</v>
      </c>
      <c r="D21" s="9">
        <f t="shared" si="27"/>
        <v>99830</v>
      </c>
      <c r="E21" s="9">
        <f t="shared" si="27"/>
        <v>101450</v>
      </c>
      <c r="F21" s="9">
        <f t="shared" si="27"/>
        <v>103461</v>
      </c>
      <c r="G21" s="9">
        <f t="shared" si="27"/>
        <v>120092</v>
      </c>
      <c r="H21" s="32"/>
      <c r="J21" s="28">
        <f t="shared" si="25"/>
        <v>1</v>
      </c>
      <c r="K21" s="28">
        <f t="shared" si="25"/>
        <v>1</v>
      </c>
      <c r="L21" s="28">
        <f t="shared" si="25"/>
        <v>1</v>
      </c>
      <c r="M21" s="28">
        <f t="shared" si="25"/>
        <v>1</v>
      </c>
      <c r="N21" s="28">
        <f t="shared" si="25"/>
        <v>1</v>
      </c>
      <c r="O21" s="28">
        <f t="shared" si="25"/>
        <v>1</v>
      </c>
      <c r="P21" s="33"/>
      <c r="Q21" s="30"/>
      <c r="R21" s="28">
        <f t="shared" si="7"/>
        <v>-5.4983532564241197E-2</v>
      </c>
      <c r="S21" s="28">
        <f t="shared" si="8"/>
        <v>-5.3841726418039616E-2</v>
      </c>
      <c r="T21" s="28">
        <f t="shared" si="9"/>
        <v>-3.084780606891235E-2</v>
      </c>
      <c r="U21" s="28">
        <f t="shared" si="22"/>
        <v>-6.4469598317139137E-2</v>
      </c>
      <c r="V21" s="28">
        <f t="shared" si="22"/>
        <v>-1.5968457368161656E-2</v>
      </c>
      <c r="W21" s="28">
        <f t="shared" si="22"/>
        <v>-1.9437275881733215E-2</v>
      </c>
      <c r="X21" s="28">
        <f t="shared" si="22"/>
        <v>-0.13848549445425173</v>
      </c>
    </row>
    <row r="22" spans="1:24" ht="15.75" thickTop="1" x14ac:dyDescent="0.25">
      <c r="A22" s="2" t="s">
        <v>85</v>
      </c>
      <c r="P22" s="30"/>
      <c r="Q22" s="30"/>
    </row>
    <row r="23" spans="1:24" x14ac:dyDescent="0.25">
      <c r="A23" s="5" t="s">
        <v>267</v>
      </c>
      <c r="B23" s="8">
        <f>+B204</f>
        <v>837</v>
      </c>
      <c r="C23" s="8">
        <f t="shared" ref="C23:G23" si="28">+C204</f>
        <v>754</v>
      </c>
      <c r="D23" s="8">
        <f t="shared" si="28"/>
        <v>236</v>
      </c>
      <c r="E23" s="8">
        <f t="shared" si="28"/>
        <v>1028</v>
      </c>
      <c r="F23" s="8">
        <f t="shared" si="28"/>
        <v>398</v>
      </c>
      <c r="G23" s="8">
        <f t="shared" si="28"/>
        <v>3195</v>
      </c>
      <c r="H23" s="8"/>
      <c r="J23" s="25">
        <f t="shared" ref="J23:J35" si="29">+B23/B$21</f>
        <v>9.24729044446654E-3</v>
      </c>
      <c r="K23" s="25">
        <f t="shared" ref="K23:K35" si="30">+C23/C$21</f>
        <v>8.0733237681221495E-3</v>
      </c>
      <c r="L23" s="25">
        <f t="shared" ref="L23:L35" si="31">+D23/D$21</f>
        <v>2.3640188320144247E-3</v>
      </c>
      <c r="M23" s="25">
        <f t="shared" ref="M23:M35" si="32">+E23/E$21</f>
        <v>1.0133070478068013E-2</v>
      </c>
      <c r="N23" s="25">
        <f t="shared" ref="N23:N35" si="33">+F23/F$21</f>
        <v>3.8468601695324806E-3</v>
      </c>
      <c r="O23" s="25">
        <f t="shared" ref="O23:O35" si="34">+G23/G$21</f>
        <v>2.660460313759451E-2</v>
      </c>
      <c r="P23" s="33"/>
      <c r="Q23" s="30"/>
      <c r="R23" s="25">
        <f t="shared" ref="R23:R35" si="35">RATE(5,0,-G23,B23)</f>
        <v>-0.23501852356897554</v>
      </c>
      <c r="S23" s="25">
        <f t="shared" ref="S23:S35" si="36">AVERAGE(T23:X23)</f>
        <v>0.4484102054393645</v>
      </c>
      <c r="T23" s="25">
        <f t="shared" ref="T23:T35" si="37">(+B23-C23)/C23</f>
        <v>0.11007957559681697</v>
      </c>
      <c r="U23" s="25">
        <f t="shared" ref="U23:U35" si="38">(+C23-D23)/D23</f>
        <v>2.1949152542372881</v>
      </c>
      <c r="V23" s="25">
        <f t="shared" ref="V23:V35" si="39">(+D23-E23)/E23</f>
        <v>-0.77042801556420237</v>
      </c>
      <c r="W23" s="25">
        <f t="shared" ref="W23:W35" si="40">(+E23-F23)/F23</f>
        <v>1.5829145728643217</v>
      </c>
      <c r="X23" s="25">
        <f t="shared" ref="X23:X35" si="41">(+F23-G23)/G23</f>
        <v>-0.87543035993740215</v>
      </c>
    </row>
    <row r="24" spans="1:24" x14ac:dyDescent="0.25">
      <c r="A24" s="5" t="s">
        <v>88</v>
      </c>
      <c r="B24" s="2">
        <v>4848</v>
      </c>
      <c r="C24" s="2">
        <v>4753</v>
      </c>
      <c r="D24" s="2">
        <v>4304</v>
      </c>
      <c r="E24" s="2">
        <v>4003</v>
      </c>
      <c r="F24" s="2">
        <v>4153</v>
      </c>
      <c r="G24" s="2">
        <v>4362</v>
      </c>
      <c r="J24" s="25">
        <f t="shared" si="29"/>
        <v>5.3561366875476454E-2</v>
      </c>
      <c r="K24" s="25">
        <f t="shared" si="30"/>
        <v>5.0891920251836309E-2</v>
      </c>
      <c r="L24" s="25">
        <f t="shared" si="31"/>
        <v>4.3113292597415608E-2</v>
      </c>
      <c r="M24" s="25">
        <f t="shared" si="32"/>
        <v>3.9457861015278463E-2</v>
      </c>
      <c r="N24" s="25">
        <f t="shared" si="33"/>
        <v>4.0140729356955764E-2</v>
      </c>
      <c r="O24" s="25">
        <f t="shared" si="34"/>
        <v>3.6322153016021048E-2</v>
      </c>
      <c r="P24" s="33"/>
      <c r="Q24" s="30"/>
      <c r="R24" s="25">
        <f t="shared" si="35"/>
        <v>2.1351873752623592E-2</v>
      </c>
      <c r="S24" s="25">
        <f t="shared" si="36"/>
        <v>2.3094054588581041E-2</v>
      </c>
      <c r="T24" s="25">
        <f t="shared" si="37"/>
        <v>1.9987376393856511E-2</v>
      </c>
      <c r="U24" s="25">
        <f t="shared" si="38"/>
        <v>0.10432156133828996</v>
      </c>
      <c r="V24" s="25">
        <f t="shared" si="39"/>
        <v>7.5193604796402705E-2</v>
      </c>
      <c r="W24" s="25">
        <f t="shared" si="40"/>
        <v>-3.6118468576932336E-2</v>
      </c>
      <c r="X24" s="25">
        <f t="shared" si="41"/>
        <v>-4.79138010087116E-2</v>
      </c>
    </row>
    <row r="25" spans="1:24" x14ac:dyDescent="0.25">
      <c r="A25" s="5" t="s">
        <v>268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J25" s="25"/>
      <c r="K25" s="25"/>
      <c r="L25" s="25"/>
      <c r="M25" s="25"/>
      <c r="N25" s="25"/>
      <c r="O25" s="25"/>
      <c r="P25" s="33"/>
      <c r="Q25" s="30"/>
      <c r="R25" s="25"/>
      <c r="S25" s="25"/>
      <c r="T25" s="25"/>
      <c r="U25" s="25"/>
      <c r="V25" s="25"/>
      <c r="W25" s="25"/>
      <c r="X25" s="25"/>
    </row>
    <row r="26" spans="1:24" x14ac:dyDescent="0.25">
      <c r="A26" s="5" t="s">
        <v>269</v>
      </c>
      <c r="B26" s="2">
        <f>+B180</f>
        <v>125</v>
      </c>
      <c r="C26" s="2">
        <f t="shared" ref="C26:G26" si="42">+C180</f>
        <v>133</v>
      </c>
      <c r="D26" s="2">
        <f t="shared" si="42"/>
        <v>135</v>
      </c>
      <c r="E26" s="2">
        <f t="shared" si="42"/>
        <v>147</v>
      </c>
      <c r="F26" s="2">
        <f t="shared" si="42"/>
        <v>0</v>
      </c>
      <c r="G26" s="2">
        <f t="shared" si="42"/>
        <v>0</v>
      </c>
      <c r="J26" s="25"/>
      <c r="K26" s="25"/>
      <c r="L26" s="25"/>
      <c r="M26" s="25"/>
      <c r="N26" s="25"/>
      <c r="O26" s="25"/>
      <c r="P26" s="33"/>
      <c r="Q26" s="30"/>
      <c r="R26" s="25"/>
      <c r="S26" s="25"/>
      <c r="T26" s="25"/>
      <c r="U26" s="25"/>
      <c r="V26" s="25"/>
      <c r="W26" s="25"/>
      <c r="X26" s="25"/>
    </row>
    <row r="27" spans="1:24" x14ac:dyDescent="0.25">
      <c r="A27" s="5" t="s">
        <v>270</v>
      </c>
      <c r="B27" s="2">
        <f>+B212</f>
        <v>3218</v>
      </c>
      <c r="C27" s="2">
        <f t="shared" ref="C27:G27" si="43">+C212</f>
        <v>3424</v>
      </c>
      <c r="D27" s="2">
        <f t="shared" si="43"/>
        <v>3386</v>
      </c>
      <c r="E27" s="2">
        <f t="shared" si="43"/>
        <v>2697</v>
      </c>
      <c r="F27" s="2">
        <f t="shared" si="43"/>
        <v>2952</v>
      </c>
      <c r="G27" s="2">
        <f t="shared" si="43"/>
        <v>2597</v>
      </c>
      <c r="J27" s="26">
        <f t="shared" si="29"/>
        <v>3.5552904002739937E-2</v>
      </c>
      <c r="K27" s="26">
        <f t="shared" si="30"/>
        <v>3.6661884061074589E-2</v>
      </c>
      <c r="L27" s="26">
        <f t="shared" si="31"/>
        <v>3.3917660022037464E-2</v>
      </c>
      <c r="M27" s="26">
        <f t="shared" si="32"/>
        <v>2.6584524396254312E-2</v>
      </c>
      <c r="N27" s="26">
        <f t="shared" si="33"/>
        <v>2.8532490503668049E-2</v>
      </c>
      <c r="O27" s="26">
        <f t="shared" si="34"/>
        <v>2.1625087432968058E-2</v>
      </c>
      <c r="P27" s="33"/>
      <c r="Q27" s="30"/>
      <c r="R27" s="26">
        <f t="shared" si="35"/>
        <v>4.3813280300541678E-2</v>
      </c>
      <c r="S27" s="26">
        <f t="shared" si="36"/>
        <v>5.1368448798014457E-2</v>
      </c>
      <c r="T27" s="26">
        <f t="shared" si="37"/>
        <v>-6.0163551401869159E-2</v>
      </c>
      <c r="U27" s="26">
        <f t="shared" si="38"/>
        <v>1.1222681630242174E-2</v>
      </c>
      <c r="V27" s="26">
        <f t="shared" si="39"/>
        <v>0.25546903967371154</v>
      </c>
      <c r="W27" s="26">
        <f t="shared" si="40"/>
        <v>-8.6382113821138209E-2</v>
      </c>
      <c r="X27" s="26">
        <f t="shared" si="41"/>
        <v>0.13669618790912591</v>
      </c>
    </row>
    <row r="28" spans="1:24" x14ac:dyDescent="0.25">
      <c r="A28" s="2" t="s">
        <v>30</v>
      </c>
      <c r="B28" s="6">
        <f t="shared" ref="B28:G28" si="44">SUM(B23:B27)</f>
        <v>9028</v>
      </c>
      <c r="C28" s="6">
        <f t="shared" si="44"/>
        <v>9064</v>
      </c>
      <c r="D28" s="6">
        <f t="shared" si="44"/>
        <v>8061</v>
      </c>
      <c r="E28" s="6">
        <f t="shared" si="44"/>
        <v>7875</v>
      </c>
      <c r="F28" s="6">
        <f t="shared" si="44"/>
        <v>7503</v>
      </c>
      <c r="G28" s="6">
        <f t="shared" si="44"/>
        <v>10154</v>
      </c>
      <c r="H28" s="30"/>
      <c r="J28" s="25">
        <f t="shared" si="29"/>
        <v>9.9742578414150448E-2</v>
      </c>
      <c r="K28" s="25">
        <f t="shared" si="30"/>
        <v>9.7051202432704459E-2</v>
      </c>
      <c r="L28" s="25">
        <f t="shared" si="31"/>
        <v>8.0747270359611337E-2</v>
      </c>
      <c r="M28" s="25">
        <f t="shared" si="32"/>
        <v>7.7624445539674722E-2</v>
      </c>
      <c r="N28" s="25">
        <f t="shared" si="33"/>
        <v>7.2520080030156295E-2</v>
      </c>
      <c r="O28" s="25">
        <f t="shared" si="34"/>
        <v>8.4551843586583617E-2</v>
      </c>
      <c r="P28" s="33"/>
      <c r="Q28" s="30"/>
      <c r="R28" s="25">
        <f t="shared" si="35"/>
        <v>-2.3233225607619739E-2</v>
      </c>
      <c r="S28" s="25">
        <f t="shared" si="36"/>
        <v>-1.3485133717464421E-2</v>
      </c>
      <c r="T28" s="25">
        <f t="shared" si="37"/>
        <v>-3.9717563989408646E-3</v>
      </c>
      <c r="U28" s="25">
        <f t="shared" si="38"/>
        <v>0.12442624984493239</v>
      </c>
      <c r="V28" s="25">
        <f t="shared" si="39"/>
        <v>2.3619047619047619E-2</v>
      </c>
      <c r="W28" s="25">
        <f t="shared" si="40"/>
        <v>4.9580167932826873E-2</v>
      </c>
      <c r="X28" s="25">
        <f t="shared" si="41"/>
        <v>-0.26107937758518812</v>
      </c>
    </row>
    <row r="29" spans="1:24" x14ac:dyDescent="0.25">
      <c r="A29" s="5" t="s">
        <v>31</v>
      </c>
      <c r="B29" s="2">
        <v>19233</v>
      </c>
      <c r="C29" s="2">
        <v>21061</v>
      </c>
      <c r="D29" s="2">
        <v>28070</v>
      </c>
      <c r="E29" s="2">
        <v>28216</v>
      </c>
      <c r="F29" s="2">
        <v>30770</v>
      </c>
      <c r="G29" s="2">
        <v>28308</v>
      </c>
      <c r="J29" s="25">
        <f t="shared" si="29"/>
        <v>0.21248881376155912</v>
      </c>
      <c r="K29" s="25">
        <f t="shared" si="30"/>
        <v>0.22550699188384693</v>
      </c>
      <c r="L29" s="25">
        <f t="shared" si="31"/>
        <v>0.28117800260442755</v>
      </c>
      <c r="M29" s="25">
        <f t="shared" si="32"/>
        <v>0.27812715623459833</v>
      </c>
      <c r="N29" s="25">
        <f t="shared" si="33"/>
        <v>0.29740675230280011</v>
      </c>
      <c r="O29" s="25">
        <f t="shared" si="34"/>
        <v>0.23571928188388902</v>
      </c>
      <c r="P29" s="33"/>
      <c r="Q29" s="30"/>
      <c r="R29" s="25">
        <f t="shared" si="35"/>
        <v>-7.4390999611951406E-2</v>
      </c>
      <c r="S29" s="25">
        <f t="shared" si="36"/>
        <v>-6.7539619547069094E-2</v>
      </c>
      <c r="T29" s="25">
        <f t="shared" si="37"/>
        <v>-8.6795498789231276E-2</v>
      </c>
      <c r="U29" s="25">
        <f t="shared" si="38"/>
        <v>-0.24969718560741005</v>
      </c>
      <c r="V29" s="25">
        <f t="shared" si="39"/>
        <v>-5.1743691522540399E-3</v>
      </c>
      <c r="W29" s="25">
        <f t="shared" si="40"/>
        <v>-8.3002924926876831E-2</v>
      </c>
      <c r="X29" s="25">
        <f t="shared" si="41"/>
        <v>8.6971880740426735E-2</v>
      </c>
    </row>
    <row r="30" spans="1:24" x14ac:dyDescent="0.25">
      <c r="A30" s="5" t="s">
        <v>271</v>
      </c>
      <c r="B30" s="2">
        <f>+B181</f>
        <v>585</v>
      </c>
      <c r="C30" s="2">
        <f t="shared" ref="C30:G30" si="45">+C181</f>
        <v>484</v>
      </c>
      <c r="D30" s="2">
        <f t="shared" si="45"/>
        <v>475</v>
      </c>
      <c r="E30" s="2">
        <f t="shared" si="45"/>
        <v>454</v>
      </c>
      <c r="F30" s="2">
        <f t="shared" si="45"/>
        <v>0</v>
      </c>
      <c r="G30" s="2">
        <f t="shared" si="45"/>
        <v>0</v>
      </c>
      <c r="J30" s="25"/>
      <c r="K30" s="25"/>
      <c r="L30" s="25"/>
      <c r="M30" s="25"/>
      <c r="N30" s="25"/>
      <c r="O30" s="25"/>
      <c r="P30" s="33"/>
      <c r="Q30" s="30"/>
      <c r="R30" s="25"/>
      <c r="S30" s="25"/>
      <c r="T30" s="25"/>
      <c r="U30" s="25"/>
      <c r="V30" s="25"/>
      <c r="W30" s="25"/>
      <c r="X30" s="25"/>
    </row>
    <row r="31" spans="1:24" x14ac:dyDescent="0.25">
      <c r="A31" s="5" t="s">
        <v>272</v>
      </c>
      <c r="B31" s="2">
        <f>+B219</f>
        <v>12797</v>
      </c>
      <c r="C31" s="2">
        <f t="shared" ref="C31:G31" si="46">+C219</f>
        <v>13333</v>
      </c>
      <c r="D31" s="2">
        <f t="shared" si="46"/>
        <v>12981</v>
      </c>
      <c r="E31" s="2">
        <f t="shared" si="46"/>
        <v>13156</v>
      </c>
      <c r="F31" s="2">
        <f t="shared" si="46"/>
        <v>13410</v>
      </c>
      <c r="G31" s="2">
        <f t="shared" si="46"/>
        <v>15554</v>
      </c>
      <c r="J31" s="26">
        <f t="shared" si="29"/>
        <v>0.14138300575607923</v>
      </c>
      <c r="K31" s="26">
        <f t="shared" si="30"/>
        <v>0.14276077692357111</v>
      </c>
      <c r="L31" s="26">
        <f t="shared" si="31"/>
        <v>0.13003105278974256</v>
      </c>
      <c r="M31" s="26">
        <f t="shared" si="32"/>
        <v>0.12967964514539182</v>
      </c>
      <c r="N31" s="26">
        <f t="shared" si="33"/>
        <v>0.12961405747093108</v>
      </c>
      <c r="O31" s="26">
        <f t="shared" si="34"/>
        <v>0.12951737001632083</v>
      </c>
      <c r="P31" s="33"/>
      <c r="Q31" s="30"/>
      <c r="R31" s="26">
        <f t="shared" si="35"/>
        <v>-3.8269885912254428E-2</v>
      </c>
      <c r="S31" s="26">
        <f t="shared" si="36"/>
        <v>-3.6633961987977935E-2</v>
      </c>
      <c r="T31" s="26">
        <f t="shared" si="37"/>
        <v>-4.0201005025125629E-2</v>
      </c>
      <c r="U31" s="26">
        <f t="shared" si="38"/>
        <v>2.7116554964948771E-2</v>
      </c>
      <c r="V31" s="26">
        <f t="shared" si="39"/>
        <v>-1.330191547582852E-2</v>
      </c>
      <c r="W31" s="26">
        <f t="shared" si="40"/>
        <v>-1.8941088739746457E-2</v>
      </c>
      <c r="X31" s="26">
        <f t="shared" si="41"/>
        <v>-0.13784235566413786</v>
      </c>
    </row>
    <row r="32" spans="1:24" x14ac:dyDescent="0.25">
      <c r="A32" s="2" t="s">
        <v>97</v>
      </c>
      <c r="B32" s="6">
        <f t="shared" ref="B32:G32" si="47">SUM(B28:B31)</f>
        <v>41643</v>
      </c>
      <c r="C32" s="6">
        <f t="shared" si="47"/>
        <v>43942</v>
      </c>
      <c r="D32" s="6">
        <f t="shared" si="47"/>
        <v>49587</v>
      </c>
      <c r="E32" s="6">
        <f t="shared" si="47"/>
        <v>49701</v>
      </c>
      <c r="F32" s="6">
        <f t="shared" si="47"/>
        <v>51683</v>
      </c>
      <c r="G32" s="6">
        <f t="shared" si="47"/>
        <v>54016</v>
      </c>
      <c r="H32" s="30"/>
      <c r="J32" s="25">
        <f t="shared" si="29"/>
        <v>0.46007755791985683</v>
      </c>
      <c r="K32" s="25">
        <f t="shared" si="30"/>
        <v>0.47050131700109216</v>
      </c>
      <c r="L32" s="25">
        <f t="shared" si="31"/>
        <v>0.49671441450465792</v>
      </c>
      <c r="M32" s="25">
        <f t="shared" si="32"/>
        <v>0.48990635781172992</v>
      </c>
      <c r="N32" s="25">
        <f t="shared" si="33"/>
        <v>0.49954088980388744</v>
      </c>
      <c r="O32" s="25">
        <f t="shared" si="34"/>
        <v>0.44978849548679345</v>
      </c>
      <c r="P32" s="33"/>
      <c r="Q32" s="30"/>
      <c r="R32" s="25">
        <f t="shared" si="35"/>
        <v>-5.0699045239239016E-2</v>
      </c>
      <c r="S32" s="25">
        <f t="shared" si="36"/>
        <v>-4.9998615364267002E-2</v>
      </c>
      <c r="T32" s="25">
        <f t="shared" si="37"/>
        <v>-5.231896590960812E-2</v>
      </c>
      <c r="U32" s="25">
        <f t="shared" si="38"/>
        <v>-0.1138403210518886</v>
      </c>
      <c r="V32" s="25">
        <f t="shared" si="39"/>
        <v>-2.2937164242168165E-3</v>
      </c>
      <c r="W32" s="25">
        <f t="shared" si="40"/>
        <v>-3.8349167037517173E-2</v>
      </c>
      <c r="X32" s="25">
        <f t="shared" si="41"/>
        <v>-4.3190906398104266E-2</v>
      </c>
    </row>
    <row r="33" spans="1:24" x14ac:dyDescent="0.25">
      <c r="A33" s="2" t="s">
        <v>98</v>
      </c>
      <c r="B33" s="2">
        <v>40</v>
      </c>
      <c r="C33" s="2">
        <v>4</v>
      </c>
      <c r="D33" s="2">
        <v>0</v>
      </c>
      <c r="E33" s="2">
        <v>0</v>
      </c>
      <c r="F33" s="2">
        <v>3</v>
      </c>
      <c r="G33" s="2">
        <v>6</v>
      </c>
      <c r="J33" s="25">
        <f t="shared" si="29"/>
        <v>4.4192546926960768E-4</v>
      </c>
      <c r="K33" s="25">
        <f t="shared" si="30"/>
        <v>4.2829303809666572E-5</v>
      </c>
      <c r="L33" s="25">
        <f t="shared" si="31"/>
        <v>0</v>
      </c>
      <c r="M33" s="25">
        <f t="shared" si="32"/>
        <v>0</v>
      </c>
      <c r="N33" s="25">
        <f t="shared" si="33"/>
        <v>2.8996433438687043E-5</v>
      </c>
      <c r="O33" s="25">
        <f t="shared" si="34"/>
        <v>4.9961696033041334E-5</v>
      </c>
      <c r="P33" s="33"/>
      <c r="Q33" s="30"/>
      <c r="R33" s="25">
        <f t="shared" si="35"/>
        <v>0.46144255162042197</v>
      </c>
      <c r="S33" s="25">
        <f t="shared" si="36"/>
        <v>2.5</v>
      </c>
      <c r="T33" s="25">
        <f t="shared" si="37"/>
        <v>9</v>
      </c>
      <c r="U33" s="25"/>
      <c r="V33" s="25"/>
      <c r="W33" s="25">
        <f t="shared" si="40"/>
        <v>-1</v>
      </c>
      <c r="X33" s="25">
        <f t="shared" si="41"/>
        <v>-0.5</v>
      </c>
    </row>
    <row r="34" spans="1:24" x14ac:dyDescent="0.25">
      <c r="A34" s="2" t="s">
        <v>106</v>
      </c>
      <c r="B34" s="30">
        <f>+B227</f>
        <v>48830</v>
      </c>
      <c r="C34" s="30">
        <f t="shared" ref="C34:G34" si="48">+C227</f>
        <v>49448</v>
      </c>
      <c r="D34" s="30">
        <f t="shared" si="48"/>
        <v>50243</v>
      </c>
      <c r="E34" s="30">
        <f t="shared" si="48"/>
        <v>51749</v>
      </c>
      <c r="F34" s="30">
        <f t="shared" si="48"/>
        <v>51775</v>
      </c>
      <c r="G34" s="30">
        <f t="shared" si="48"/>
        <v>66070</v>
      </c>
      <c r="H34" s="30"/>
      <c r="J34" s="25">
        <f t="shared" si="29"/>
        <v>0.53948051661087359</v>
      </c>
      <c r="K34" s="25">
        <f t="shared" si="30"/>
        <v>0.52945585369509818</v>
      </c>
      <c r="L34" s="25">
        <f t="shared" si="31"/>
        <v>0.50328558549534208</v>
      </c>
      <c r="M34" s="25">
        <f t="shared" si="32"/>
        <v>0.51009364218827014</v>
      </c>
      <c r="N34" s="25">
        <f t="shared" si="33"/>
        <v>0.50043011376267388</v>
      </c>
      <c r="O34" s="25">
        <f t="shared" si="34"/>
        <v>0.55016154281717355</v>
      </c>
      <c r="P34" s="33"/>
      <c r="Q34" s="30"/>
      <c r="R34" s="25">
        <f t="shared" si="35"/>
        <v>-5.8681739699202047E-2</v>
      </c>
      <c r="S34" s="25">
        <f t="shared" si="36"/>
        <v>-5.4857339349412525E-2</v>
      </c>
      <c r="T34" s="25">
        <f t="shared" si="37"/>
        <v>-1.2497977673515612E-2</v>
      </c>
      <c r="U34" s="25">
        <f t="shared" si="38"/>
        <v>-1.5823099735286509E-2</v>
      </c>
      <c r="V34" s="25">
        <f t="shared" si="39"/>
        <v>-2.9102011633075034E-2</v>
      </c>
      <c r="W34" s="25">
        <f t="shared" si="40"/>
        <v>-5.0217286335103818E-4</v>
      </c>
      <c r="X34" s="25">
        <f t="shared" si="41"/>
        <v>-0.21636143484183443</v>
      </c>
    </row>
    <row r="35" spans="1:24" ht="15.75" thickBot="1" x14ac:dyDescent="0.3">
      <c r="A35" s="2" t="s">
        <v>107</v>
      </c>
      <c r="B35" s="9">
        <f>+B34+B33+B32</f>
        <v>90513</v>
      </c>
      <c r="C35" s="9">
        <f t="shared" ref="C35:G35" si="49">+C34+C33+C32</f>
        <v>93394</v>
      </c>
      <c r="D35" s="9">
        <f t="shared" si="49"/>
        <v>99830</v>
      </c>
      <c r="E35" s="9">
        <f t="shared" si="49"/>
        <v>101450</v>
      </c>
      <c r="F35" s="9">
        <f t="shared" si="49"/>
        <v>103461</v>
      </c>
      <c r="G35" s="9">
        <f t="shared" si="49"/>
        <v>120092</v>
      </c>
      <c r="H35" s="32"/>
      <c r="J35" s="28">
        <f t="shared" si="29"/>
        <v>1</v>
      </c>
      <c r="K35" s="28">
        <f t="shared" si="30"/>
        <v>1</v>
      </c>
      <c r="L35" s="28">
        <f t="shared" si="31"/>
        <v>1</v>
      </c>
      <c r="M35" s="28">
        <f t="shared" si="32"/>
        <v>1</v>
      </c>
      <c r="N35" s="28">
        <f t="shared" si="33"/>
        <v>1</v>
      </c>
      <c r="O35" s="28">
        <f t="shared" si="34"/>
        <v>1</v>
      </c>
      <c r="P35" s="33"/>
      <c r="Q35" s="30"/>
      <c r="R35" s="28">
        <f t="shared" si="35"/>
        <v>-5.4983532564241197E-2</v>
      </c>
      <c r="S35" s="28">
        <f t="shared" si="36"/>
        <v>-5.3841726418039616E-2</v>
      </c>
      <c r="T35" s="28">
        <f t="shared" si="37"/>
        <v>-3.084780606891235E-2</v>
      </c>
      <c r="U35" s="28">
        <f t="shared" si="38"/>
        <v>-6.4469598317139137E-2</v>
      </c>
      <c r="V35" s="28">
        <f t="shared" si="39"/>
        <v>-1.5968457368161656E-2</v>
      </c>
      <c r="W35" s="28">
        <f t="shared" si="40"/>
        <v>-1.9437275881733215E-2</v>
      </c>
      <c r="X35" s="28">
        <f t="shared" si="41"/>
        <v>-0.13848549445425173</v>
      </c>
    </row>
    <row r="36" spans="1:24" ht="15.75" thickTop="1" x14ac:dyDescent="0.25">
      <c r="B36" s="2">
        <f>+B35-B21</f>
        <v>0</v>
      </c>
      <c r="C36" s="2">
        <f t="shared" ref="C36:G36" si="50">+C35-C21</f>
        <v>0</v>
      </c>
      <c r="D36" s="2">
        <f t="shared" si="50"/>
        <v>0</v>
      </c>
      <c r="E36" s="2">
        <f t="shared" si="50"/>
        <v>0</v>
      </c>
      <c r="F36" s="2">
        <f t="shared" si="50"/>
        <v>0</v>
      </c>
      <c r="G36" s="2">
        <f t="shared" si="50"/>
        <v>0</v>
      </c>
      <c r="P36" s="30"/>
      <c r="Q36" s="30"/>
    </row>
    <row r="37" spans="1:24" x14ac:dyDescent="0.25">
      <c r="A37" s="2" t="s">
        <v>108</v>
      </c>
      <c r="B37" s="2">
        <v>1243</v>
      </c>
      <c r="C37" s="2">
        <v>1235</v>
      </c>
      <c r="D37" s="2">
        <v>1228</v>
      </c>
      <c r="E37" s="2">
        <v>1224</v>
      </c>
      <c r="F37" s="2">
        <v>1224</v>
      </c>
      <c r="G37" s="2">
        <v>1221</v>
      </c>
      <c r="P37" s="30"/>
    </row>
    <row r="38" spans="1:24" x14ac:dyDescent="0.25">
      <c r="A38" s="2" t="s">
        <v>109</v>
      </c>
      <c r="B38" s="2">
        <v>-18</v>
      </c>
      <c r="C38" s="2">
        <v>-11</v>
      </c>
      <c r="D38" s="2">
        <v>-5</v>
      </c>
      <c r="E38" s="2">
        <v>-3</v>
      </c>
      <c r="F38" s="2">
        <v>-4</v>
      </c>
      <c r="G38" s="2">
        <v>-2</v>
      </c>
    </row>
    <row r="39" spans="1:24" ht="15.75" thickBot="1" x14ac:dyDescent="0.3">
      <c r="A39" s="2" t="s">
        <v>110</v>
      </c>
      <c r="B39" s="11">
        <f>+B37+B38</f>
        <v>1225</v>
      </c>
      <c r="C39" s="11">
        <f t="shared" ref="C39:G39" si="51">+C37+C38</f>
        <v>1224</v>
      </c>
      <c r="D39" s="11">
        <f t="shared" si="51"/>
        <v>1223</v>
      </c>
      <c r="E39" s="11">
        <f t="shared" si="51"/>
        <v>1221</v>
      </c>
      <c r="F39" s="11">
        <f t="shared" si="51"/>
        <v>1220</v>
      </c>
      <c r="G39" s="11">
        <f t="shared" si="51"/>
        <v>1219</v>
      </c>
      <c r="H39" s="30"/>
    </row>
    <row r="40" spans="1:24" ht="15.75" thickTop="1" x14ac:dyDescent="0.25">
      <c r="A40" s="2" t="s">
        <v>273</v>
      </c>
      <c r="B40" s="7">
        <v>38.130000000000003</v>
      </c>
      <c r="C40" s="7">
        <v>39.22</v>
      </c>
      <c r="D40" s="7">
        <v>36.380000000000003</v>
      </c>
      <c r="E40" s="7">
        <v>24.77</v>
      </c>
      <c r="F40" s="7">
        <v>33.19</v>
      </c>
      <c r="G40" s="7">
        <v>67.14</v>
      </c>
      <c r="H40" s="7"/>
    </row>
    <row r="41" spans="1:24" x14ac:dyDescent="0.25">
      <c r="A41" s="2" t="s">
        <v>111</v>
      </c>
      <c r="B41" s="8">
        <f>+B39*B40</f>
        <v>46709.25</v>
      </c>
      <c r="C41" s="8">
        <f t="shared" ref="C41:G41" si="52">+C39*C40</f>
        <v>48005.279999999999</v>
      </c>
      <c r="D41" s="8">
        <f t="shared" si="52"/>
        <v>44492.740000000005</v>
      </c>
      <c r="E41" s="8">
        <f t="shared" si="52"/>
        <v>30244.17</v>
      </c>
      <c r="F41" s="8">
        <f t="shared" si="52"/>
        <v>40491.799999999996</v>
      </c>
      <c r="G41" s="8">
        <f t="shared" si="52"/>
        <v>81843.66</v>
      </c>
      <c r="H41" s="8"/>
    </row>
    <row r="43" spans="1:24" s="53" customFormat="1" x14ac:dyDescent="0.25">
      <c r="A43" s="66" t="str">
        <f>+A1</f>
        <v>Kraft Heinz Company</v>
      </c>
      <c r="B43" s="66" t="s">
        <v>261</v>
      </c>
      <c r="C43" s="66"/>
      <c r="D43" s="66"/>
      <c r="E43" s="66"/>
      <c r="F43" s="66"/>
      <c r="G43" s="66"/>
      <c r="H43" s="66"/>
    </row>
    <row r="44" spans="1:24" s="53" customFormat="1" x14ac:dyDescent="0.25">
      <c r="A44" s="66" t="s">
        <v>274</v>
      </c>
      <c r="B44" s="66"/>
      <c r="C44" s="66"/>
      <c r="D44" s="66"/>
      <c r="E44" s="66"/>
      <c r="F44" s="66"/>
      <c r="G44" s="66"/>
      <c r="H44" s="66"/>
    </row>
    <row r="45" spans="1:24" s="53" customFormat="1" x14ac:dyDescent="0.25">
      <c r="A45" s="66" t="str">
        <f>+A3</f>
        <v>in millions except per share data</v>
      </c>
      <c r="B45" s="66"/>
      <c r="C45" s="66"/>
      <c r="D45" s="66"/>
      <c r="E45" s="66"/>
      <c r="F45" s="66" t="s">
        <v>262</v>
      </c>
      <c r="G45" s="72" t="s">
        <v>66</v>
      </c>
      <c r="H45" s="67"/>
    </row>
    <row r="46" spans="1:24" s="53" customFormat="1" ht="15.75" thickBot="1" x14ac:dyDescent="0.3">
      <c r="A46" s="67" t="str">
        <f>+A4</f>
        <v>Fiscal Year ended 12/31:</v>
      </c>
      <c r="B46" s="69">
        <v>2022</v>
      </c>
      <c r="C46" s="69">
        <v>2021</v>
      </c>
      <c r="D46" s="69">
        <v>2020</v>
      </c>
      <c r="E46" s="69">
        <v>2019</v>
      </c>
      <c r="F46" s="69">
        <v>2018</v>
      </c>
      <c r="G46" s="69">
        <v>2017</v>
      </c>
      <c r="H46" s="79" t="s">
        <v>275</v>
      </c>
    </row>
    <row r="47" spans="1:24" x14ac:dyDescent="0.25">
      <c r="A47" s="2" t="s">
        <v>276</v>
      </c>
      <c r="B47" s="8">
        <f>+'As Reported'!B68</f>
        <v>2368</v>
      </c>
      <c r="C47" s="8">
        <f>+'As Reported'!C68</f>
        <v>1024</v>
      </c>
      <c r="D47" s="8">
        <f>+'As Reported'!D68</f>
        <v>361</v>
      </c>
      <c r="E47" s="8">
        <f>+'As Reported'!E68</f>
        <v>1933</v>
      </c>
      <c r="F47" s="8">
        <f>+'As Reported'!F68</f>
        <v>-10254</v>
      </c>
      <c r="G47" s="8">
        <f>+'As Reported'!G68</f>
        <v>10932</v>
      </c>
      <c r="H47" s="8">
        <f>SUM(B47:G47)</f>
        <v>6364</v>
      </c>
    </row>
    <row r="48" spans="1:24" x14ac:dyDescent="0.25">
      <c r="A48" s="2" t="s">
        <v>277</v>
      </c>
      <c r="B48" s="2">
        <v>-993</v>
      </c>
      <c r="C48" s="2">
        <v>149</v>
      </c>
      <c r="D48" s="2">
        <v>-78</v>
      </c>
      <c r="E48" s="2">
        <v>-72</v>
      </c>
      <c r="F48" s="2">
        <v>-903</v>
      </c>
      <c r="G48" s="2">
        <v>581</v>
      </c>
      <c r="H48" s="27">
        <f>SUM(B48:G48)</f>
        <v>-1316</v>
      </c>
    </row>
    <row r="49" spans="1:24" x14ac:dyDescent="0.25">
      <c r="A49" s="2" t="s">
        <v>278</v>
      </c>
      <c r="B49" s="6">
        <f t="shared" ref="B49:G49" si="53">SUM(B47:B48)</f>
        <v>1375</v>
      </c>
      <c r="C49" s="6">
        <f t="shared" si="53"/>
        <v>1173</v>
      </c>
      <c r="D49" s="6">
        <f t="shared" si="53"/>
        <v>283</v>
      </c>
      <c r="E49" s="6">
        <f t="shared" si="53"/>
        <v>1861</v>
      </c>
      <c r="F49" s="6">
        <f t="shared" si="53"/>
        <v>-11157</v>
      </c>
      <c r="G49" s="6">
        <f t="shared" si="53"/>
        <v>11513</v>
      </c>
      <c r="H49" s="2">
        <f t="shared" ref="H49:H52" si="54">SUM(B49:G49)</f>
        <v>5048</v>
      </c>
    </row>
    <row r="50" spans="1:24" x14ac:dyDescent="0.25">
      <c r="A50" s="2" t="s">
        <v>55</v>
      </c>
      <c r="B50" s="2">
        <v>-1972</v>
      </c>
      <c r="C50" s="2">
        <v>-1979</v>
      </c>
      <c r="D50" s="2">
        <v>-1973</v>
      </c>
      <c r="E50" s="2">
        <v>-1959</v>
      </c>
      <c r="F50" s="2">
        <v>-3048</v>
      </c>
      <c r="G50" s="2">
        <v>-2988</v>
      </c>
      <c r="H50" s="2">
        <f t="shared" si="54"/>
        <v>-13919</v>
      </c>
    </row>
    <row r="51" spans="1:24" x14ac:dyDescent="0.25">
      <c r="A51" s="2" t="s">
        <v>279</v>
      </c>
      <c r="B51" s="27">
        <f t="shared" ref="B51:G51" si="55">+B52-SUM(B49:B50)</f>
        <v>-21</v>
      </c>
      <c r="C51" s="27">
        <f t="shared" si="55"/>
        <v>11</v>
      </c>
      <c r="D51" s="27">
        <f t="shared" si="55"/>
        <v>184</v>
      </c>
      <c r="E51" s="27">
        <f t="shared" si="55"/>
        <v>72</v>
      </c>
      <c r="F51" s="27">
        <f t="shared" si="55"/>
        <v>-90</v>
      </c>
      <c r="G51" s="27">
        <f t="shared" si="55"/>
        <v>85</v>
      </c>
      <c r="H51" s="27">
        <f t="shared" si="54"/>
        <v>241</v>
      </c>
    </row>
    <row r="52" spans="1:24" x14ac:dyDescent="0.25">
      <c r="A52" s="2" t="s">
        <v>280</v>
      </c>
      <c r="B52" s="2">
        <f>+B54-B53</f>
        <v>-618</v>
      </c>
      <c r="C52" s="2">
        <f t="shared" ref="C52:G52" si="56">+C54-C53</f>
        <v>-795</v>
      </c>
      <c r="D52" s="2">
        <f t="shared" si="56"/>
        <v>-1506</v>
      </c>
      <c r="E52" s="2">
        <f t="shared" si="56"/>
        <v>-26</v>
      </c>
      <c r="F52" s="2">
        <f t="shared" si="56"/>
        <v>-14295</v>
      </c>
      <c r="G52" s="2">
        <f t="shared" si="56"/>
        <v>8610</v>
      </c>
      <c r="H52" s="2">
        <f t="shared" si="54"/>
        <v>-8630</v>
      </c>
    </row>
    <row r="53" spans="1:24" x14ac:dyDescent="0.25">
      <c r="A53" s="2" t="s">
        <v>281</v>
      </c>
      <c r="B53" s="2">
        <f t="shared" ref="B53:E53" si="57">+C54</f>
        <v>49448</v>
      </c>
      <c r="C53" s="2">
        <f t="shared" si="57"/>
        <v>50243</v>
      </c>
      <c r="D53" s="2">
        <f t="shared" si="57"/>
        <v>51749</v>
      </c>
      <c r="E53" s="2">
        <f t="shared" si="57"/>
        <v>51775</v>
      </c>
      <c r="F53" s="2">
        <f>+G54</f>
        <v>66070</v>
      </c>
      <c r="G53" s="2">
        <v>57460</v>
      </c>
      <c r="H53" s="2">
        <f>+G53</f>
        <v>57460</v>
      </c>
    </row>
    <row r="54" spans="1:24" ht="15.75" thickBot="1" x14ac:dyDescent="0.3">
      <c r="A54" s="2" t="s">
        <v>282</v>
      </c>
      <c r="B54" s="9">
        <f t="shared" ref="B54:G54" si="58">+B34</f>
        <v>48830</v>
      </c>
      <c r="C54" s="9">
        <f t="shared" si="58"/>
        <v>49448</v>
      </c>
      <c r="D54" s="9">
        <f t="shared" si="58"/>
        <v>50243</v>
      </c>
      <c r="E54" s="9">
        <f t="shared" si="58"/>
        <v>51749</v>
      </c>
      <c r="F54" s="9">
        <f t="shared" si="58"/>
        <v>51775</v>
      </c>
      <c r="G54" s="9">
        <f t="shared" si="58"/>
        <v>66070</v>
      </c>
      <c r="H54" s="9">
        <f>++H52+H53</f>
        <v>48830</v>
      </c>
    </row>
    <row r="55" spans="1:24" ht="15.75" thickTop="1" x14ac:dyDescent="0.25"/>
    <row r="56" spans="1:24" s="53" customFormat="1" x14ac:dyDescent="0.25">
      <c r="A56" s="66" t="str">
        <f>+A1</f>
        <v>Kraft Heinz Company</v>
      </c>
      <c r="B56" s="66" t="str">
        <f>+B1</f>
        <v>Reclassified</v>
      </c>
      <c r="C56" s="66"/>
      <c r="D56" s="66"/>
      <c r="E56" s="66"/>
      <c r="F56" s="66"/>
      <c r="G56" s="66"/>
      <c r="H56" s="66"/>
      <c r="J56" s="66" t="str">
        <f>+B56</f>
        <v>Reclassified</v>
      </c>
      <c r="K56" s="66"/>
      <c r="L56" s="66"/>
      <c r="M56" s="66"/>
      <c r="N56" s="66"/>
      <c r="O56" s="66"/>
      <c r="P56" s="66"/>
      <c r="R56" s="66" t="str">
        <f>+B56</f>
        <v>Reclassified</v>
      </c>
      <c r="S56" s="66"/>
      <c r="T56" s="66"/>
      <c r="U56" s="66"/>
      <c r="V56" s="66"/>
      <c r="W56" s="66"/>
      <c r="X56" s="66"/>
    </row>
    <row r="57" spans="1:24" s="53" customFormat="1" x14ac:dyDescent="0.25">
      <c r="A57" s="66" t="s">
        <v>112</v>
      </c>
      <c r="B57" s="66"/>
      <c r="C57" s="66"/>
      <c r="D57" s="66"/>
      <c r="E57" s="66"/>
      <c r="F57" s="66"/>
      <c r="G57" s="66"/>
      <c r="H57" s="66"/>
      <c r="J57" s="66" t="s">
        <v>113</v>
      </c>
      <c r="K57" s="66"/>
      <c r="L57" s="66"/>
      <c r="M57" s="66"/>
      <c r="N57" s="66"/>
      <c r="O57" s="66"/>
      <c r="P57" s="66"/>
      <c r="R57" s="66" t="s">
        <v>63</v>
      </c>
      <c r="S57" s="66"/>
      <c r="T57" s="66"/>
      <c r="U57" s="66"/>
      <c r="V57" s="66"/>
      <c r="W57" s="66"/>
      <c r="X57" s="66"/>
    </row>
    <row r="58" spans="1:24" s="53" customFormat="1" x14ac:dyDescent="0.25">
      <c r="A58" s="66" t="str">
        <f>+A3</f>
        <v>in millions except per share data</v>
      </c>
      <c r="B58" s="66"/>
      <c r="C58" s="66"/>
      <c r="D58" s="66"/>
      <c r="E58" s="66"/>
      <c r="F58" s="66" t="s">
        <v>262</v>
      </c>
      <c r="G58" s="72" t="s">
        <v>66</v>
      </c>
      <c r="H58" s="67"/>
      <c r="J58" s="66"/>
      <c r="K58" s="66"/>
      <c r="L58" s="66"/>
      <c r="M58" s="66"/>
      <c r="N58" s="66"/>
      <c r="O58" s="72" t="s">
        <v>66</v>
      </c>
      <c r="P58" s="67"/>
      <c r="R58" s="66" t="s">
        <v>67</v>
      </c>
      <c r="S58" s="66" t="s">
        <v>68</v>
      </c>
      <c r="T58" s="66" t="s">
        <v>69</v>
      </c>
      <c r="U58" s="66" t="s">
        <v>70</v>
      </c>
      <c r="V58" s="66" t="s">
        <v>71</v>
      </c>
      <c r="W58" s="66" t="s">
        <v>72</v>
      </c>
      <c r="X58" s="66" t="s">
        <v>73</v>
      </c>
    </row>
    <row r="59" spans="1:24" s="53" customFormat="1" ht="15.75" thickBot="1" x14ac:dyDescent="0.3">
      <c r="A59" s="67" t="str">
        <f>+A4</f>
        <v>Fiscal Year ended 12/31:</v>
      </c>
      <c r="B59" s="69">
        <v>2022</v>
      </c>
      <c r="C59" s="69">
        <v>2021</v>
      </c>
      <c r="D59" s="69">
        <v>2020</v>
      </c>
      <c r="E59" s="69">
        <v>2019</v>
      </c>
      <c r="F59" s="69">
        <v>2018</v>
      </c>
      <c r="G59" s="69">
        <v>2017</v>
      </c>
      <c r="H59" s="79" t="s">
        <v>275</v>
      </c>
      <c r="J59" s="69">
        <v>2022</v>
      </c>
      <c r="K59" s="69">
        <v>2021</v>
      </c>
      <c r="L59" s="69">
        <v>2020</v>
      </c>
      <c r="M59" s="69">
        <v>2019</v>
      </c>
      <c r="N59" s="69">
        <v>2018</v>
      </c>
      <c r="O59" s="69">
        <v>2017</v>
      </c>
      <c r="P59" s="79" t="s">
        <v>275</v>
      </c>
      <c r="R59" s="70" t="s">
        <v>75</v>
      </c>
      <c r="S59" s="70" t="s">
        <v>76</v>
      </c>
      <c r="T59" s="71">
        <v>2022</v>
      </c>
      <c r="U59" s="71">
        <v>2021</v>
      </c>
      <c r="V59" s="71">
        <v>2020</v>
      </c>
      <c r="W59" s="71">
        <v>2019</v>
      </c>
      <c r="X59" s="71">
        <v>2018</v>
      </c>
    </row>
    <row r="60" spans="1:24" x14ac:dyDescent="0.25">
      <c r="A60" s="2" t="s">
        <v>115</v>
      </c>
      <c r="B60" s="8">
        <v>26485</v>
      </c>
      <c r="C60" s="8">
        <v>26042</v>
      </c>
      <c r="D60" s="8">
        <v>26185</v>
      </c>
      <c r="E60" s="8">
        <v>24977</v>
      </c>
      <c r="F60" s="8">
        <v>26268</v>
      </c>
      <c r="G60" s="8">
        <v>26076</v>
      </c>
      <c r="H60" s="8">
        <f>SUM(B60:G60)</f>
        <v>156033</v>
      </c>
      <c r="J60" s="25">
        <f t="shared" ref="J60:P60" si="59">+B60/B$60</f>
        <v>1</v>
      </c>
      <c r="K60" s="25">
        <f t="shared" si="59"/>
        <v>1</v>
      </c>
      <c r="L60" s="25">
        <f t="shared" si="59"/>
        <v>1</v>
      </c>
      <c r="M60" s="25">
        <f t="shared" si="59"/>
        <v>1</v>
      </c>
      <c r="N60" s="25">
        <f t="shared" si="59"/>
        <v>1</v>
      </c>
      <c r="O60" s="25">
        <f t="shared" si="59"/>
        <v>1</v>
      </c>
      <c r="P60" s="25">
        <f t="shared" si="59"/>
        <v>1</v>
      </c>
      <c r="R60" s="25">
        <f t="shared" ref="R60:R150" si="60">RATE(5,0,-G60,B60)</f>
        <v>3.1174860707707231E-3</v>
      </c>
      <c r="S60" s="25">
        <f t="shared" ref="S60:S151" si="61">AVERAGE(T60:X60)</f>
        <v>3.626035362061633E-3</v>
      </c>
      <c r="T60" s="25">
        <f t="shared" ref="T60:X63" si="62">(+B60-C60)/C60</f>
        <v>1.7010982259427078E-2</v>
      </c>
      <c r="U60" s="25">
        <f t="shared" si="62"/>
        <v>-5.4611418751193434E-3</v>
      </c>
      <c r="V60" s="25">
        <f t="shared" si="62"/>
        <v>4.836449533570885E-2</v>
      </c>
      <c r="W60" s="25">
        <f t="shared" si="62"/>
        <v>-4.914725140855794E-2</v>
      </c>
      <c r="X60" s="25">
        <f t="shared" si="62"/>
        <v>7.3630924988495172E-3</v>
      </c>
    </row>
    <row r="61" spans="1:24" x14ac:dyDescent="0.25">
      <c r="A61" s="5" t="s">
        <v>116</v>
      </c>
      <c r="B61" s="2">
        <v>18363</v>
      </c>
      <c r="C61" s="2">
        <v>17360</v>
      </c>
      <c r="D61" s="2">
        <v>17008</v>
      </c>
      <c r="E61" s="2">
        <v>16830</v>
      </c>
      <c r="F61" s="2">
        <v>17347</v>
      </c>
      <c r="G61" s="2">
        <v>17043</v>
      </c>
      <c r="H61" s="2">
        <f>SUM(B61:G61)</f>
        <v>103951</v>
      </c>
      <c r="J61" s="26">
        <f t="shared" ref="J61:J76" si="63">+B61/B$60</f>
        <v>0.69333585048140456</v>
      </c>
      <c r="K61" s="26">
        <f t="shared" ref="K61:P63" si="64">+C61/C$60</f>
        <v>0.66661546732201826</v>
      </c>
      <c r="L61" s="26">
        <f t="shared" si="64"/>
        <v>0.64953217490929926</v>
      </c>
      <c r="M61" s="26">
        <f t="shared" si="64"/>
        <v>0.67381991432117549</v>
      </c>
      <c r="N61" s="26">
        <f t="shared" si="64"/>
        <v>0.66038525963149075</v>
      </c>
      <c r="O61" s="26">
        <f t="shared" si="64"/>
        <v>0.65358950759318912</v>
      </c>
      <c r="P61" s="26">
        <f t="shared" si="64"/>
        <v>0.66621163471829681</v>
      </c>
      <c r="Q61" s="30"/>
      <c r="R61" s="26">
        <f t="shared" si="60"/>
        <v>1.5031495091144084E-2</v>
      </c>
      <c r="S61" s="26">
        <f t="shared" si="61"/>
        <v>1.5416560689107845E-2</v>
      </c>
      <c r="T61" s="26">
        <f t="shared" si="62"/>
        <v>5.7776497695852531E-2</v>
      </c>
      <c r="U61" s="26">
        <f t="shared" si="62"/>
        <v>2.0696142991533398E-2</v>
      </c>
      <c r="V61" s="26">
        <f t="shared" si="62"/>
        <v>1.057635175282234E-2</v>
      </c>
      <c r="W61" s="26">
        <f t="shared" si="62"/>
        <v>-2.9803424223208624E-2</v>
      </c>
      <c r="X61" s="26">
        <f t="shared" si="62"/>
        <v>1.7837235228539576E-2</v>
      </c>
    </row>
    <row r="62" spans="1:24" x14ac:dyDescent="0.25">
      <c r="A62" s="2" t="s">
        <v>117</v>
      </c>
      <c r="B62" s="6">
        <f>+B60-B61</f>
        <v>8122</v>
      </c>
      <c r="C62" s="6">
        <f t="shared" ref="C62:G62" si="65">+C60-C61</f>
        <v>8682</v>
      </c>
      <c r="D62" s="6">
        <f t="shared" si="65"/>
        <v>9177</v>
      </c>
      <c r="E62" s="6">
        <f t="shared" si="65"/>
        <v>8147</v>
      </c>
      <c r="F62" s="6">
        <f t="shared" si="65"/>
        <v>8921</v>
      </c>
      <c r="G62" s="6">
        <f t="shared" si="65"/>
        <v>9033</v>
      </c>
      <c r="H62" s="6">
        <f t="shared" ref="H62:H76" si="66">SUM(B62:G62)</f>
        <v>52082</v>
      </c>
      <c r="J62" s="25">
        <f t="shared" si="63"/>
        <v>0.30666414951859544</v>
      </c>
      <c r="K62" s="25">
        <f t="shared" si="64"/>
        <v>0.33338453267798174</v>
      </c>
      <c r="L62" s="25">
        <f t="shared" si="64"/>
        <v>0.35046782509070079</v>
      </c>
      <c r="M62" s="25">
        <f t="shared" si="64"/>
        <v>0.32618008567882451</v>
      </c>
      <c r="N62" s="25">
        <f t="shared" si="64"/>
        <v>0.33961474036850919</v>
      </c>
      <c r="O62" s="25">
        <f t="shared" si="64"/>
        <v>0.34641049240681088</v>
      </c>
      <c r="P62" s="25">
        <f t="shared" si="64"/>
        <v>0.33378836528170325</v>
      </c>
      <c r="Q62" s="30"/>
      <c r="R62" s="25">
        <f t="shared" si="60"/>
        <v>-2.1037186930892088E-2</v>
      </c>
      <c r="S62" s="25">
        <f t="shared" si="61"/>
        <v>-1.8234822504439984E-2</v>
      </c>
      <c r="T62" s="25">
        <f t="shared" si="62"/>
        <v>-6.4501266989172995E-2</v>
      </c>
      <c r="U62" s="25">
        <f t="shared" si="62"/>
        <v>-5.393919581562602E-2</v>
      </c>
      <c r="V62" s="25">
        <f t="shared" si="62"/>
        <v>0.12642690560942679</v>
      </c>
      <c r="W62" s="25">
        <f t="shared" si="62"/>
        <v>-8.6761573814594775E-2</v>
      </c>
      <c r="X62" s="25">
        <f t="shared" si="62"/>
        <v>-1.2398981512232924E-2</v>
      </c>
    </row>
    <row r="63" spans="1:24" x14ac:dyDescent="0.25">
      <c r="A63" s="5" t="s">
        <v>283</v>
      </c>
      <c r="B63" s="2">
        <f>+B232</f>
        <v>2503</v>
      </c>
      <c r="C63" s="2">
        <f t="shared" ref="C63:G63" si="67">+C232</f>
        <v>2409</v>
      </c>
      <c r="D63" s="2">
        <f t="shared" si="67"/>
        <v>2461</v>
      </c>
      <c r="E63" s="2">
        <f t="shared" si="67"/>
        <v>1966</v>
      </c>
      <c r="F63" s="2">
        <f t="shared" si="67"/>
        <v>1941</v>
      </c>
      <c r="G63" s="2">
        <f t="shared" si="67"/>
        <v>1719</v>
      </c>
      <c r="H63" s="2">
        <f t="shared" si="66"/>
        <v>12999</v>
      </c>
      <c r="J63" s="25">
        <f t="shared" si="63"/>
        <v>9.4506324334528977E-2</v>
      </c>
      <c r="K63" s="25">
        <f t="shared" si="64"/>
        <v>9.2504415943475929E-2</v>
      </c>
      <c r="L63" s="25">
        <f t="shared" si="64"/>
        <v>9.3985105976704217E-2</v>
      </c>
      <c r="M63" s="25">
        <f t="shared" si="64"/>
        <v>7.8712415422188417E-2</v>
      </c>
      <c r="N63" s="25">
        <f t="shared" si="64"/>
        <v>7.3892188213796256E-2</v>
      </c>
      <c r="O63" s="25">
        <f t="shared" si="64"/>
        <v>6.5922687528762083E-2</v>
      </c>
      <c r="P63" s="25">
        <f t="shared" si="64"/>
        <v>8.3309299955778585E-2</v>
      </c>
      <c r="Q63" s="30"/>
      <c r="R63" s="25">
        <f t="shared" si="60"/>
        <v>7.8045260485801612E-2</v>
      </c>
      <c r="S63" s="25">
        <f t="shared" si="61"/>
        <v>8.2339158644776006E-2</v>
      </c>
      <c r="T63" s="25">
        <f t="shared" si="62"/>
        <v>3.9020340390203405E-2</v>
      </c>
      <c r="U63" s="25">
        <f t="shared" si="62"/>
        <v>-2.1129622104835433E-2</v>
      </c>
      <c r="V63" s="25">
        <f t="shared" si="62"/>
        <v>0.25178026449643948</v>
      </c>
      <c r="W63" s="25">
        <f t="shared" si="62"/>
        <v>1.287995878413189E-2</v>
      </c>
      <c r="X63" s="25">
        <f t="shared" si="62"/>
        <v>0.12914485165794065</v>
      </c>
    </row>
    <row r="64" spans="1:24" x14ac:dyDescent="0.25">
      <c r="A64" s="5" t="s">
        <v>284</v>
      </c>
      <c r="B64" s="2">
        <f>+B167</f>
        <v>945</v>
      </c>
      <c r="C64" s="2">
        <f t="shared" ref="C64:G64" si="68">+C167</f>
        <v>1039</v>
      </c>
      <c r="D64" s="2">
        <f t="shared" si="68"/>
        <v>1070</v>
      </c>
      <c r="E64" s="2">
        <f t="shared" si="68"/>
        <v>1100</v>
      </c>
      <c r="F64" s="2">
        <f t="shared" si="68"/>
        <v>1140</v>
      </c>
      <c r="G64" s="2">
        <f t="shared" si="68"/>
        <v>1115</v>
      </c>
      <c r="H64" s="2">
        <f t="shared" si="66"/>
        <v>6409</v>
      </c>
      <c r="J64" s="25">
        <f t="shared" ref="J64:J65" si="69">+B64/B$60</f>
        <v>3.568057390976024E-2</v>
      </c>
      <c r="K64" s="25">
        <f t="shared" ref="K64:K65" si="70">+C64/C$60</f>
        <v>3.9897089317256738E-2</v>
      </c>
      <c r="L64" s="25">
        <f t="shared" ref="L64:L65" si="71">+D64/D$60</f>
        <v>4.0863089555088793E-2</v>
      </c>
      <c r="M64" s="25">
        <f t="shared" ref="M64:M65" si="72">+E64/E$60</f>
        <v>4.4040517275893823E-2</v>
      </c>
      <c r="N64" s="25">
        <f t="shared" ref="N64:N65" si="73">+F64/F$60</f>
        <v>4.3398812243033345E-2</v>
      </c>
      <c r="O64" s="25">
        <f t="shared" ref="O64:O65" si="74">+G64/G$60</f>
        <v>4.2759625709464642E-2</v>
      </c>
      <c r="P64" s="25">
        <f t="shared" ref="P64:P65" si="75">+H64/H$60</f>
        <v>4.1074644466234704E-2</v>
      </c>
      <c r="Q64" s="30"/>
      <c r="R64" s="25"/>
      <c r="S64" s="25"/>
      <c r="T64" s="25"/>
      <c r="U64" s="25"/>
      <c r="V64" s="25"/>
      <c r="W64" s="25"/>
      <c r="X64" s="25"/>
    </row>
    <row r="65" spans="1:24" x14ac:dyDescent="0.25">
      <c r="A65" s="5" t="s">
        <v>285</v>
      </c>
      <c r="B65" s="2">
        <f>+B168</f>
        <v>127</v>
      </c>
      <c r="C65" s="2">
        <f t="shared" ref="C65:G65" si="76">+C168</f>
        <v>140</v>
      </c>
      <c r="D65" s="2">
        <f t="shared" si="76"/>
        <v>119</v>
      </c>
      <c r="E65" s="2">
        <f t="shared" si="76"/>
        <v>112</v>
      </c>
      <c r="F65" s="2">
        <f t="shared" si="76"/>
        <v>109</v>
      </c>
      <c r="G65" s="2">
        <f t="shared" si="76"/>
        <v>93</v>
      </c>
      <c r="H65" s="2">
        <f t="shared" si="66"/>
        <v>700</v>
      </c>
      <c r="J65" s="25">
        <f t="shared" si="69"/>
        <v>4.7951670757032279E-3</v>
      </c>
      <c r="K65" s="25">
        <f t="shared" si="70"/>
        <v>5.3759311880807927E-3</v>
      </c>
      <c r="L65" s="25">
        <f t="shared" si="71"/>
        <v>4.544586595379034E-3</v>
      </c>
      <c r="M65" s="25">
        <f t="shared" si="72"/>
        <v>4.4841253953637342E-3</v>
      </c>
      <c r="N65" s="25">
        <f t="shared" si="73"/>
        <v>4.1495355565707324E-3</v>
      </c>
      <c r="O65" s="25">
        <f t="shared" si="74"/>
        <v>3.5664979291302346E-3</v>
      </c>
      <c r="P65" s="25">
        <f t="shared" si="75"/>
        <v>4.4862304768862995E-3</v>
      </c>
      <c r="Q65" s="30"/>
      <c r="R65" s="25"/>
      <c r="S65" s="25"/>
      <c r="T65" s="25"/>
      <c r="U65" s="25"/>
      <c r="V65" s="25"/>
      <c r="W65" s="25"/>
      <c r="X65" s="25"/>
    </row>
    <row r="66" spans="1:24" x14ac:dyDescent="0.25">
      <c r="A66" s="5" t="s">
        <v>119</v>
      </c>
      <c r="B66" s="2">
        <v>444</v>
      </c>
      <c r="C66" s="2">
        <v>318</v>
      </c>
      <c r="D66" s="2">
        <v>2343</v>
      </c>
      <c r="E66" s="2">
        <v>1197</v>
      </c>
      <c r="F66" s="2">
        <v>7008</v>
      </c>
      <c r="G66" s="2">
        <v>0</v>
      </c>
      <c r="H66" s="2">
        <f t="shared" si="66"/>
        <v>11310</v>
      </c>
      <c r="J66" s="25">
        <f t="shared" si="63"/>
        <v>1.6764206154427034E-2</v>
      </c>
      <c r="K66" s="25">
        <f t="shared" ref="K66:K76" si="77">+C66/C$60</f>
        <v>1.2211043698640657E-2</v>
      </c>
      <c r="L66" s="25">
        <f t="shared" ref="L66:L76" si="78">+D66/D$60</f>
        <v>8.9478709184647703E-2</v>
      </c>
      <c r="M66" s="25">
        <f t="shared" ref="M66:M76" si="79">+E66/E$60</f>
        <v>4.7924090162949913E-2</v>
      </c>
      <c r="N66" s="25">
        <f t="shared" ref="N66:N76" si="80">+F66/F$60</f>
        <v>0.26678848789401555</v>
      </c>
      <c r="O66" s="25">
        <f t="shared" ref="O66:O76" si="81">+G66/G$60</f>
        <v>0</v>
      </c>
      <c r="P66" s="25">
        <f t="shared" ref="P66:P76" si="82">+H66/H$60</f>
        <v>7.2484666705120077E-2</v>
      </c>
      <c r="Q66" s="30"/>
      <c r="R66" s="25"/>
      <c r="S66" s="25">
        <f t="shared" si="61"/>
        <v>-8.4962968794439958E-2</v>
      </c>
      <c r="T66" s="25">
        <f t="shared" ref="T66:T76" si="83">(+B66-C66)/C66</f>
        <v>0.39622641509433965</v>
      </c>
      <c r="U66" s="25">
        <f t="shared" ref="U66:U76" si="84">(+C66-D66)/D66</f>
        <v>-0.86427656850192058</v>
      </c>
      <c r="V66" s="25">
        <f t="shared" ref="V66:V76" si="85">(+D66-E66)/E66</f>
        <v>0.95739348370927313</v>
      </c>
      <c r="W66" s="25">
        <f t="shared" ref="W66:W76" si="86">(+E66-F66)/F66</f>
        <v>-0.82919520547945202</v>
      </c>
      <c r="X66" s="25"/>
    </row>
    <row r="67" spans="1:24" x14ac:dyDescent="0.25">
      <c r="A67" s="5" t="s">
        <v>120</v>
      </c>
      <c r="B67" s="2">
        <v>469</v>
      </c>
      <c r="C67" s="2">
        <v>1316</v>
      </c>
      <c r="D67" s="2">
        <v>1056</v>
      </c>
      <c r="E67" s="2">
        <v>702</v>
      </c>
      <c r="F67" s="2">
        <v>8928</v>
      </c>
      <c r="G67" s="2">
        <v>49</v>
      </c>
      <c r="H67" s="2">
        <f t="shared" si="66"/>
        <v>12520</v>
      </c>
      <c r="J67" s="26">
        <f t="shared" si="63"/>
        <v>1.7708136681140269E-2</v>
      </c>
      <c r="K67" s="26">
        <f t="shared" si="77"/>
        <v>5.0533753167959453E-2</v>
      </c>
      <c r="L67" s="26">
        <f t="shared" si="78"/>
        <v>4.0328432308573609E-2</v>
      </c>
      <c r="M67" s="26">
        <f t="shared" si="79"/>
        <v>2.8105857388797693E-2</v>
      </c>
      <c r="N67" s="26">
        <f t="shared" si="80"/>
        <v>0.33988122430333484</v>
      </c>
      <c r="O67" s="26">
        <f t="shared" si="81"/>
        <v>1.8791225648105538E-3</v>
      </c>
      <c r="P67" s="26">
        <f t="shared" si="82"/>
        <v>8.0239436529452104E-2</v>
      </c>
      <c r="Q67" s="30"/>
      <c r="R67" s="26">
        <f t="shared" si="60"/>
        <v>0.57106933729090092</v>
      </c>
      <c r="S67" s="26">
        <f t="shared" si="61"/>
        <v>36.077915853824031</v>
      </c>
      <c r="T67" s="26">
        <f t="shared" si="83"/>
        <v>-0.6436170212765957</v>
      </c>
      <c r="U67" s="26">
        <f t="shared" si="84"/>
        <v>0.24621212121212122</v>
      </c>
      <c r="V67" s="26">
        <f t="shared" si="85"/>
        <v>0.50427350427350426</v>
      </c>
      <c r="W67" s="26">
        <f t="shared" si="86"/>
        <v>-0.9213709677419355</v>
      </c>
      <c r="X67" s="26">
        <f t="shared" ref="X67:X76" si="87">(+F67-G67)/G67</f>
        <v>181.20408163265307</v>
      </c>
    </row>
    <row r="68" spans="1:24" x14ac:dyDescent="0.25">
      <c r="A68" s="12" t="s">
        <v>121</v>
      </c>
      <c r="B68" s="10">
        <f>SUM(B63:B67)</f>
        <v>4488</v>
      </c>
      <c r="C68" s="10">
        <f t="shared" ref="C68:G68" si="88">SUM(C63:C67)</f>
        <v>5222</v>
      </c>
      <c r="D68" s="10">
        <f t="shared" si="88"/>
        <v>7049</v>
      </c>
      <c r="E68" s="10">
        <f t="shared" si="88"/>
        <v>5077</v>
      </c>
      <c r="F68" s="10">
        <f t="shared" si="88"/>
        <v>19126</v>
      </c>
      <c r="G68" s="10">
        <f t="shared" si="88"/>
        <v>2976</v>
      </c>
      <c r="H68" s="10">
        <f t="shared" si="66"/>
        <v>43938</v>
      </c>
      <c r="J68" s="26">
        <f t="shared" si="63"/>
        <v>0.16945440815555976</v>
      </c>
      <c r="K68" s="26">
        <f t="shared" si="77"/>
        <v>0.20052223331541355</v>
      </c>
      <c r="L68" s="26">
        <f t="shared" si="78"/>
        <v>0.26919992362039336</v>
      </c>
      <c r="M68" s="26">
        <f t="shared" si="79"/>
        <v>0.20326700564519357</v>
      </c>
      <c r="N68" s="26">
        <f t="shared" si="80"/>
        <v>0.72811024821075077</v>
      </c>
      <c r="O68" s="26">
        <f t="shared" si="81"/>
        <v>0.11412793373216751</v>
      </c>
      <c r="P68" s="26">
        <f t="shared" si="82"/>
        <v>0.28159427813347176</v>
      </c>
      <c r="Q68" s="30"/>
      <c r="R68" s="26">
        <f t="shared" si="60"/>
        <v>8.5635370196636043E-2</v>
      </c>
      <c r="S68" s="26">
        <f t="shared" si="61"/>
        <v>0.93617419376710242</v>
      </c>
      <c r="T68" s="26">
        <f t="shared" si="83"/>
        <v>-0.14055917273075449</v>
      </c>
      <c r="U68" s="26">
        <f t="shared" si="84"/>
        <v>-0.25918570009930486</v>
      </c>
      <c r="V68" s="26">
        <f t="shared" si="85"/>
        <v>0.3884183572976167</v>
      </c>
      <c r="W68" s="26">
        <f t="shared" si="86"/>
        <v>-0.73454982746000208</v>
      </c>
      <c r="X68" s="26">
        <f t="shared" si="87"/>
        <v>5.426747311827957</v>
      </c>
    </row>
    <row r="69" spans="1:24" x14ac:dyDescent="0.25">
      <c r="A69" s="2" t="s">
        <v>122</v>
      </c>
      <c r="B69" s="2">
        <f>+B62-B68</f>
        <v>3634</v>
      </c>
      <c r="C69" s="2">
        <f t="shared" ref="C69:G69" si="89">+C62-C68</f>
        <v>3460</v>
      </c>
      <c r="D69" s="2">
        <f t="shared" si="89"/>
        <v>2128</v>
      </c>
      <c r="E69" s="2">
        <f t="shared" si="89"/>
        <v>3070</v>
      </c>
      <c r="F69" s="2">
        <f t="shared" si="89"/>
        <v>-10205</v>
      </c>
      <c r="G69" s="2">
        <f t="shared" si="89"/>
        <v>6057</v>
      </c>
      <c r="H69" s="2">
        <f t="shared" si="66"/>
        <v>8144</v>
      </c>
      <c r="J69" s="25">
        <f t="shared" si="63"/>
        <v>0.13720974136303568</v>
      </c>
      <c r="K69" s="25">
        <f t="shared" si="77"/>
        <v>0.13286229936256816</v>
      </c>
      <c r="L69" s="25">
        <f t="shared" si="78"/>
        <v>8.1267901470307422E-2</v>
      </c>
      <c r="M69" s="25">
        <f t="shared" si="79"/>
        <v>0.12291308003363094</v>
      </c>
      <c r="N69" s="25">
        <f t="shared" si="80"/>
        <v>-0.38849550784224152</v>
      </c>
      <c r="O69" s="25">
        <f t="shared" si="81"/>
        <v>0.23228255867464334</v>
      </c>
      <c r="P69" s="25">
        <f t="shared" si="82"/>
        <v>5.2194087148231462E-2</v>
      </c>
      <c r="Q69" s="30"/>
      <c r="R69" s="25">
        <f t="shared" si="60"/>
        <v>-9.7129486369166726E-2</v>
      </c>
      <c r="S69" s="25">
        <f t="shared" si="61"/>
        <v>-0.72325438425943411</v>
      </c>
      <c r="T69" s="25">
        <f t="shared" si="83"/>
        <v>5.0289017341040465E-2</v>
      </c>
      <c r="U69" s="25">
        <f t="shared" si="84"/>
        <v>0.62593984962406013</v>
      </c>
      <c r="V69" s="25">
        <f t="shared" si="85"/>
        <v>-0.30684039087947884</v>
      </c>
      <c r="W69" s="25">
        <f t="shared" si="86"/>
        <v>-1.3008329250367467</v>
      </c>
      <c r="X69" s="25">
        <f t="shared" si="87"/>
        <v>-2.6848274723460457</v>
      </c>
    </row>
    <row r="70" spans="1:24" x14ac:dyDescent="0.25">
      <c r="A70" s="5" t="s">
        <v>123</v>
      </c>
      <c r="B70" s="2">
        <v>921</v>
      </c>
      <c r="C70" s="2">
        <v>2047</v>
      </c>
      <c r="D70" s="2">
        <v>1394</v>
      </c>
      <c r="E70" s="2">
        <v>1361</v>
      </c>
      <c r="F70" s="2">
        <v>1284</v>
      </c>
      <c r="G70" s="2">
        <v>1234</v>
      </c>
      <c r="H70" s="2">
        <f t="shared" si="66"/>
        <v>8241</v>
      </c>
      <c r="J70" s="25">
        <f t="shared" si="63"/>
        <v>3.4774400604115539E-2</v>
      </c>
      <c r="K70" s="25">
        <f t="shared" si="77"/>
        <v>7.860379387143844E-2</v>
      </c>
      <c r="L70" s="25">
        <f t="shared" si="78"/>
        <v>5.3236585831582965E-2</v>
      </c>
      <c r="M70" s="25">
        <f t="shared" si="79"/>
        <v>5.4490130920446814E-2</v>
      </c>
      <c r="N70" s="25">
        <f t="shared" si="80"/>
        <v>4.8880767473732295E-2</v>
      </c>
      <c r="O70" s="25">
        <f t="shared" si="81"/>
        <v>4.7323209081147413E-2</v>
      </c>
      <c r="P70" s="25">
        <f t="shared" si="82"/>
        <v>5.281575051431428E-2</v>
      </c>
      <c r="Q70" s="30"/>
      <c r="R70" s="25">
        <f t="shared" si="60"/>
        <v>-5.6832354866180976E-2</v>
      </c>
      <c r="S70" s="25">
        <f t="shared" si="61"/>
        <v>8.6194480407803427E-3</v>
      </c>
      <c r="T70" s="25">
        <f t="shared" si="83"/>
        <v>-0.55007327796775773</v>
      </c>
      <c r="U70" s="25">
        <f t="shared" si="84"/>
        <v>0.4684361549497848</v>
      </c>
      <c r="V70" s="25">
        <f t="shared" si="85"/>
        <v>2.4246877296105803E-2</v>
      </c>
      <c r="W70" s="25">
        <f t="shared" si="86"/>
        <v>5.9968847352024922E-2</v>
      </c>
      <c r="X70" s="25">
        <f t="shared" si="87"/>
        <v>4.0518638573743923E-2</v>
      </c>
    </row>
    <row r="71" spans="1:24" x14ac:dyDescent="0.25">
      <c r="A71" s="5" t="s">
        <v>124</v>
      </c>
      <c r="B71" s="2">
        <v>-253</v>
      </c>
      <c r="C71" s="2">
        <v>-295</v>
      </c>
      <c r="D71" s="2">
        <v>-296</v>
      </c>
      <c r="E71" s="2">
        <v>-952</v>
      </c>
      <c r="F71" s="2">
        <v>-168</v>
      </c>
      <c r="G71" s="2">
        <v>-627</v>
      </c>
      <c r="H71" s="2">
        <f t="shared" si="66"/>
        <v>-2591</v>
      </c>
      <c r="J71" s="26">
        <f t="shared" si="63"/>
        <v>-9.5525769303379266E-3</v>
      </c>
      <c r="K71" s="26">
        <f t="shared" si="77"/>
        <v>-1.1327855003455956E-2</v>
      </c>
      <c r="L71" s="26">
        <f t="shared" si="78"/>
        <v>-1.1304181783463815E-2</v>
      </c>
      <c r="M71" s="26">
        <f t="shared" si="79"/>
        <v>-3.8115065860591747E-2</v>
      </c>
      <c r="N71" s="26">
        <f t="shared" si="80"/>
        <v>-6.395614435815441E-3</v>
      </c>
      <c r="O71" s="26">
        <f t="shared" si="81"/>
        <v>-2.4045098941555453E-2</v>
      </c>
      <c r="P71" s="26">
        <f t="shared" si="82"/>
        <v>-1.6605461665160574E-2</v>
      </c>
      <c r="Q71" s="30"/>
      <c r="R71" s="26">
        <f t="shared" si="60"/>
        <v>-0.16599127110650957</v>
      </c>
      <c r="S71" s="26">
        <f t="shared" si="61"/>
        <v>0.61995647208246263</v>
      </c>
      <c r="T71" s="26">
        <f t="shared" si="83"/>
        <v>-0.14237288135593221</v>
      </c>
      <c r="U71" s="26">
        <f t="shared" si="84"/>
        <v>-3.3783783783783786E-3</v>
      </c>
      <c r="V71" s="26">
        <f t="shared" si="85"/>
        <v>-0.68907563025210083</v>
      </c>
      <c r="W71" s="26">
        <f t="shared" si="86"/>
        <v>4.666666666666667</v>
      </c>
      <c r="X71" s="26">
        <f t="shared" si="87"/>
        <v>-0.73205741626794263</v>
      </c>
    </row>
    <row r="72" spans="1:24" x14ac:dyDescent="0.25">
      <c r="A72" s="2" t="s">
        <v>125</v>
      </c>
      <c r="B72" s="6">
        <f>+B69-B70-B71</f>
        <v>2966</v>
      </c>
      <c r="C72" s="6">
        <f t="shared" ref="C72:G72" si="90">+C69-C70-C71</f>
        <v>1708</v>
      </c>
      <c r="D72" s="6">
        <f t="shared" si="90"/>
        <v>1030</v>
      </c>
      <c r="E72" s="6">
        <f t="shared" si="90"/>
        <v>2661</v>
      </c>
      <c r="F72" s="6">
        <f t="shared" si="90"/>
        <v>-11321</v>
      </c>
      <c r="G72" s="6">
        <f t="shared" si="90"/>
        <v>5450</v>
      </c>
      <c r="H72" s="6">
        <f t="shared" si="66"/>
        <v>2494</v>
      </c>
      <c r="J72" s="25">
        <f t="shared" si="63"/>
        <v>0.11198791768925807</v>
      </c>
      <c r="K72" s="25">
        <f t="shared" si="77"/>
        <v>6.5586360494585674E-2</v>
      </c>
      <c r="L72" s="25">
        <f t="shared" si="78"/>
        <v>3.9335497422188274E-2</v>
      </c>
      <c r="M72" s="25">
        <f t="shared" si="79"/>
        <v>0.10653801497377588</v>
      </c>
      <c r="N72" s="25">
        <f t="shared" si="80"/>
        <v>-0.43098066088015835</v>
      </c>
      <c r="O72" s="25">
        <f t="shared" si="81"/>
        <v>0.2090044485350514</v>
      </c>
      <c r="P72" s="25">
        <f t="shared" si="82"/>
        <v>1.598379829907776E-2</v>
      </c>
      <c r="Q72" s="30"/>
      <c r="R72" s="25">
        <f t="shared" si="60"/>
        <v>-0.11456858041064177</v>
      </c>
      <c r="S72" s="25">
        <f t="shared" si="61"/>
        <v>-0.7060877399039478</v>
      </c>
      <c r="T72" s="25">
        <f t="shared" si="83"/>
        <v>0.7365339578454333</v>
      </c>
      <c r="U72" s="25">
        <f t="shared" si="84"/>
        <v>0.65825242718446597</v>
      </c>
      <c r="V72" s="25">
        <f t="shared" si="85"/>
        <v>-0.61292747087561072</v>
      </c>
      <c r="W72" s="25">
        <f t="shared" si="86"/>
        <v>-1.2350499072520096</v>
      </c>
      <c r="X72" s="25">
        <f t="shared" si="87"/>
        <v>-3.0772477064220185</v>
      </c>
    </row>
    <row r="73" spans="1:24" x14ac:dyDescent="0.25">
      <c r="A73" s="5" t="s">
        <v>126</v>
      </c>
      <c r="B73" s="2">
        <v>598</v>
      </c>
      <c r="C73" s="2">
        <v>684</v>
      </c>
      <c r="D73" s="2">
        <v>669</v>
      </c>
      <c r="E73" s="2">
        <v>728</v>
      </c>
      <c r="F73" s="2">
        <v>-1067</v>
      </c>
      <c r="G73" s="2">
        <v>-5482</v>
      </c>
      <c r="H73" s="2">
        <f t="shared" si="66"/>
        <v>-3870</v>
      </c>
      <c r="J73" s="26">
        <f t="shared" si="63"/>
        <v>2.2578818198980555E-2</v>
      </c>
      <c r="K73" s="26">
        <f t="shared" si="77"/>
        <v>2.6265263804623303E-2</v>
      </c>
      <c r="L73" s="26">
        <f t="shared" si="78"/>
        <v>2.5548978422761121E-2</v>
      </c>
      <c r="M73" s="26">
        <f t="shared" si="79"/>
        <v>2.9146815069864274E-2</v>
      </c>
      <c r="N73" s="26">
        <f t="shared" si="80"/>
        <v>-4.0619765494137351E-2</v>
      </c>
      <c r="O73" s="26">
        <f t="shared" si="81"/>
        <v>-0.21023163061819297</v>
      </c>
      <c r="P73" s="26">
        <f t="shared" si="82"/>
        <v>-2.480244563649997E-2</v>
      </c>
      <c r="Q73" s="30"/>
      <c r="R73" s="26">
        <f>RATE(5,0,G73,B73)</f>
        <v>-0.35797427408867821</v>
      </c>
      <c r="S73" s="26">
        <f t="shared" si="61"/>
        <v>-0.53440064342280214</v>
      </c>
      <c r="T73" s="26">
        <f t="shared" si="83"/>
        <v>-0.12573099415204678</v>
      </c>
      <c r="U73" s="26">
        <f t="shared" si="84"/>
        <v>2.2421524663677129E-2</v>
      </c>
      <c r="V73" s="26">
        <f t="shared" si="85"/>
        <v>-8.1043956043956047E-2</v>
      </c>
      <c r="W73" s="26">
        <f t="shared" si="86"/>
        <v>-1.6822867853795689</v>
      </c>
      <c r="X73" s="26">
        <f t="shared" si="87"/>
        <v>-0.80536300620211598</v>
      </c>
    </row>
    <row r="74" spans="1:24" x14ac:dyDescent="0.25">
      <c r="A74" s="2" t="s">
        <v>127</v>
      </c>
      <c r="B74" s="6">
        <f>+B72-B73</f>
        <v>2368</v>
      </c>
      <c r="C74" s="6">
        <f t="shared" ref="C74:G74" si="91">+C72-C73</f>
        <v>1024</v>
      </c>
      <c r="D74" s="6">
        <f t="shared" si="91"/>
        <v>361</v>
      </c>
      <c r="E74" s="6">
        <f t="shared" si="91"/>
        <v>1933</v>
      </c>
      <c r="F74" s="6">
        <f t="shared" si="91"/>
        <v>-10254</v>
      </c>
      <c r="G74" s="6">
        <f t="shared" si="91"/>
        <v>10932</v>
      </c>
      <c r="H74" s="6">
        <f t="shared" si="66"/>
        <v>6364</v>
      </c>
      <c r="J74" s="25">
        <f t="shared" si="63"/>
        <v>8.9409099490277519E-2</v>
      </c>
      <c r="K74" s="25">
        <f t="shared" si="77"/>
        <v>3.9321096689962372E-2</v>
      </c>
      <c r="L74" s="25">
        <f t="shared" si="78"/>
        <v>1.3786518999427153E-2</v>
      </c>
      <c r="M74" s="25">
        <f t="shared" si="79"/>
        <v>7.7391199903911592E-2</v>
      </c>
      <c r="N74" s="25">
        <f t="shared" si="80"/>
        <v>-0.39036089538602103</v>
      </c>
      <c r="O74" s="25">
        <f t="shared" si="81"/>
        <v>0.41923607915324435</v>
      </c>
      <c r="P74" s="25">
        <f t="shared" si="82"/>
        <v>4.0786243935577733E-2</v>
      </c>
      <c r="Q74" s="30"/>
      <c r="R74" s="25">
        <f t="shared" si="60"/>
        <v>-0.26356161826246205</v>
      </c>
      <c r="S74" s="25">
        <f t="shared" si="61"/>
        <v>-0.15813412150269723</v>
      </c>
      <c r="T74" s="25">
        <f t="shared" si="83"/>
        <v>1.3125</v>
      </c>
      <c r="U74" s="25">
        <f t="shared" si="84"/>
        <v>1.8365650969529086</v>
      </c>
      <c r="V74" s="25">
        <f t="shared" si="85"/>
        <v>-0.81324366270046555</v>
      </c>
      <c r="W74" s="25">
        <f t="shared" si="86"/>
        <v>-1.1885118002730641</v>
      </c>
      <c r="X74" s="25">
        <f t="shared" si="87"/>
        <v>-1.9379802414928651</v>
      </c>
    </row>
    <row r="75" spans="1:24" x14ac:dyDescent="0.25">
      <c r="A75" s="5" t="s">
        <v>105</v>
      </c>
      <c r="B75" s="2">
        <v>5</v>
      </c>
      <c r="C75" s="2">
        <v>12</v>
      </c>
      <c r="D75" s="2">
        <v>5</v>
      </c>
      <c r="E75" s="2">
        <v>-2</v>
      </c>
      <c r="F75" s="2">
        <v>-62</v>
      </c>
      <c r="G75" s="2">
        <v>-9</v>
      </c>
      <c r="H75" s="2">
        <f t="shared" si="66"/>
        <v>-51</v>
      </c>
      <c r="J75" s="25">
        <f t="shared" si="63"/>
        <v>1.8878610534264677E-4</v>
      </c>
      <c r="K75" s="25">
        <f t="shared" si="77"/>
        <v>4.6079410183549652E-4</v>
      </c>
      <c r="L75" s="25">
        <f t="shared" si="78"/>
        <v>1.9094901661256445E-4</v>
      </c>
      <c r="M75" s="25">
        <f t="shared" si="79"/>
        <v>-8.0073667774352406E-5</v>
      </c>
      <c r="N75" s="25">
        <f t="shared" si="80"/>
        <v>-2.3602862798842699E-3</v>
      </c>
      <c r="O75" s="25">
        <f t="shared" si="81"/>
        <v>-3.4514496088357109E-4</v>
      </c>
      <c r="P75" s="25">
        <f t="shared" si="82"/>
        <v>-3.2685393474457324E-4</v>
      </c>
      <c r="Q75" s="30"/>
      <c r="R75" s="25">
        <f>RATE(5,0,G75,B75)</f>
        <v>-0.11091046386779865</v>
      </c>
      <c r="S75" s="25">
        <f t="shared" si="61"/>
        <v>0.44756272401433694</v>
      </c>
      <c r="T75" s="25">
        <f t="shared" si="83"/>
        <v>-0.58333333333333337</v>
      </c>
      <c r="U75" s="25">
        <f t="shared" si="84"/>
        <v>1.4</v>
      </c>
      <c r="V75" s="25">
        <f t="shared" si="85"/>
        <v>-3.5</v>
      </c>
      <c r="W75" s="25">
        <f t="shared" si="86"/>
        <v>-0.967741935483871</v>
      </c>
      <c r="X75" s="25">
        <f t="shared" si="87"/>
        <v>5.8888888888888893</v>
      </c>
    </row>
    <row r="76" spans="1:24" ht="15.75" thickBot="1" x14ac:dyDescent="0.3">
      <c r="A76" s="2" t="s">
        <v>128</v>
      </c>
      <c r="B76" s="9">
        <f>+B74-B75</f>
        <v>2363</v>
      </c>
      <c r="C76" s="9">
        <f t="shared" ref="C76:G76" si="92">+C74-C75</f>
        <v>1012</v>
      </c>
      <c r="D76" s="9">
        <f t="shared" si="92"/>
        <v>356</v>
      </c>
      <c r="E76" s="9">
        <f t="shared" si="92"/>
        <v>1935</v>
      </c>
      <c r="F76" s="9">
        <f t="shared" si="92"/>
        <v>-10192</v>
      </c>
      <c r="G76" s="9">
        <f t="shared" si="92"/>
        <v>10941</v>
      </c>
      <c r="H76" s="9">
        <f t="shared" si="66"/>
        <v>6415</v>
      </c>
      <c r="J76" s="28">
        <f t="shared" si="63"/>
        <v>8.9220313384934871E-2</v>
      </c>
      <c r="K76" s="28">
        <f t="shared" si="77"/>
        <v>3.8860302588126873E-2</v>
      </c>
      <c r="L76" s="28">
        <f t="shared" si="78"/>
        <v>1.3595569982814588E-2</v>
      </c>
      <c r="M76" s="28">
        <f t="shared" si="79"/>
        <v>7.7471273571685956E-2</v>
      </c>
      <c r="N76" s="28">
        <f t="shared" si="80"/>
        <v>-0.38800060910613676</v>
      </c>
      <c r="O76" s="28">
        <f t="shared" si="81"/>
        <v>0.41958122411412796</v>
      </c>
      <c r="P76" s="28">
        <f t="shared" si="82"/>
        <v>4.1113097870322302E-2</v>
      </c>
      <c r="Q76" s="30"/>
      <c r="R76" s="28">
        <f t="shared" si="60"/>
        <v>-0.26399402380581244</v>
      </c>
      <c r="S76" s="28">
        <f t="shared" si="61"/>
        <v>-0.15194810002519135</v>
      </c>
      <c r="T76" s="28">
        <f t="shared" si="83"/>
        <v>1.3349802371541502</v>
      </c>
      <c r="U76" s="28">
        <f t="shared" si="84"/>
        <v>1.8426966292134832</v>
      </c>
      <c r="V76" s="28">
        <f t="shared" si="85"/>
        <v>-0.81602067183462534</v>
      </c>
      <c r="W76" s="28">
        <f t="shared" si="86"/>
        <v>-1.1898547880690737</v>
      </c>
      <c r="X76" s="28">
        <f t="shared" si="87"/>
        <v>-1.9315419065898913</v>
      </c>
    </row>
    <row r="77" spans="1:24" ht="15.75" thickTop="1" x14ac:dyDescent="0.25">
      <c r="B77" s="2">
        <f>+B76-'As Reported'!B70</f>
        <v>0</v>
      </c>
      <c r="C77" s="2">
        <f>+C76-'As Reported'!C70</f>
        <v>0</v>
      </c>
      <c r="D77" s="2">
        <f>+D76-'As Reported'!D70</f>
        <v>0</v>
      </c>
      <c r="E77" s="2">
        <f>+E76-'As Reported'!E70</f>
        <v>0</v>
      </c>
      <c r="F77" s="2">
        <f>+F76-'As Reported'!F70</f>
        <v>0</v>
      </c>
      <c r="G77" s="2">
        <f>+G76-'As Reported'!G70</f>
        <v>0</v>
      </c>
      <c r="J77" s="25"/>
      <c r="K77" s="25"/>
      <c r="L77" s="25"/>
      <c r="M77" s="25"/>
      <c r="N77" s="25"/>
      <c r="O77" s="25"/>
      <c r="P77" s="25"/>
      <c r="Q77" s="30"/>
      <c r="R77" s="25"/>
      <c r="S77" s="25"/>
      <c r="T77" s="25"/>
      <c r="U77" s="25"/>
      <c r="V77" s="25"/>
      <c r="W77" s="25"/>
      <c r="X77" s="25"/>
    </row>
    <row r="78" spans="1:24" x14ac:dyDescent="0.25">
      <c r="A78" s="2" t="s">
        <v>131</v>
      </c>
      <c r="B78" s="19">
        <v>1235</v>
      </c>
      <c r="C78" s="19">
        <v>1236</v>
      </c>
      <c r="D78" s="19">
        <v>1228</v>
      </c>
      <c r="E78" s="19">
        <v>1224</v>
      </c>
      <c r="F78" s="19">
        <v>1219</v>
      </c>
      <c r="G78" s="19">
        <v>1228</v>
      </c>
      <c r="H78" s="19"/>
      <c r="J78" s="25"/>
      <c r="K78" s="25"/>
      <c r="L78" s="25"/>
      <c r="M78" s="25"/>
      <c r="N78" s="25"/>
      <c r="O78" s="25"/>
      <c r="P78" s="25"/>
      <c r="R78" s="25">
        <f t="shared" si="60"/>
        <v>1.1374745049678259E-3</v>
      </c>
      <c r="S78" s="25">
        <f t="shared" si="61"/>
        <v>1.1492605687045796E-3</v>
      </c>
      <c r="T78" s="25">
        <f t="shared" ref="T78:X80" si="93">(+B78-C78)/C78</f>
        <v>-8.090614886731392E-4</v>
      </c>
      <c r="U78" s="25">
        <f t="shared" si="93"/>
        <v>6.5146579804560263E-3</v>
      </c>
      <c r="V78" s="25">
        <f t="shared" si="93"/>
        <v>3.2679738562091504E-3</v>
      </c>
      <c r="W78" s="25">
        <f t="shared" si="93"/>
        <v>4.1017227235438884E-3</v>
      </c>
      <c r="X78" s="25">
        <f t="shared" si="93"/>
        <v>-7.3289902280130291E-3</v>
      </c>
    </row>
    <row r="79" spans="1:24" x14ac:dyDescent="0.25">
      <c r="A79" s="2" t="s">
        <v>132</v>
      </c>
      <c r="B79" s="7">
        <f>+B76/B78</f>
        <v>1.9133603238866397</v>
      </c>
      <c r="C79" s="7">
        <f t="shared" ref="C79:G79" si="94">+C76/C78</f>
        <v>0.81877022653721687</v>
      </c>
      <c r="D79" s="7">
        <f t="shared" si="94"/>
        <v>0.28990228013029318</v>
      </c>
      <c r="E79" s="7">
        <f t="shared" si="94"/>
        <v>1.5808823529411764</v>
      </c>
      <c r="F79" s="7">
        <f t="shared" si="94"/>
        <v>-8.3609515996718624</v>
      </c>
      <c r="G79" s="7">
        <f t="shared" si="94"/>
        <v>8.9096091205211732</v>
      </c>
      <c r="H79" s="7"/>
      <c r="J79" s="25"/>
      <c r="K79" s="25"/>
      <c r="L79" s="25"/>
      <c r="M79" s="25"/>
      <c r="N79" s="25"/>
      <c r="O79" s="25"/>
      <c r="P79" s="25"/>
      <c r="R79" s="25">
        <f t="shared" si="60"/>
        <v>-0.26483026064109128</v>
      </c>
      <c r="S79" s="25">
        <f t="shared" si="61"/>
        <v>-0.15659011145761975</v>
      </c>
      <c r="T79" s="25">
        <f t="shared" si="93"/>
        <v>1.3368709094109552</v>
      </c>
      <c r="U79" s="25">
        <f t="shared" si="93"/>
        <v>1.8242972982800625</v>
      </c>
      <c r="V79" s="25">
        <f t="shared" si="93"/>
        <v>-0.81661995303386115</v>
      </c>
      <c r="W79" s="25">
        <f t="shared" si="93"/>
        <v>-1.1890792374642163</v>
      </c>
      <c r="X79" s="25">
        <f t="shared" si="93"/>
        <v>-1.9384195744810389</v>
      </c>
    </row>
    <row r="80" spans="1:24" x14ac:dyDescent="0.25">
      <c r="A80" s="2" t="s">
        <v>133</v>
      </c>
      <c r="B80" s="24">
        <v>1.6</v>
      </c>
      <c r="C80" s="24">
        <v>1.6</v>
      </c>
      <c r="D80" s="24">
        <v>1.6</v>
      </c>
      <c r="E80" s="24">
        <v>1.6</v>
      </c>
      <c r="F80" s="24">
        <v>2.5</v>
      </c>
      <c r="G80" s="24">
        <v>2.4500000000000002</v>
      </c>
      <c r="H80" s="24"/>
      <c r="J80" s="25"/>
      <c r="K80" s="25"/>
      <c r="L80" s="25"/>
      <c r="M80" s="25"/>
      <c r="N80" s="25"/>
      <c r="O80" s="25"/>
      <c r="P80" s="25"/>
      <c r="R80" s="25">
        <f t="shared" si="60"/>
        <v>-8.1686900081131844E-2</v>
      </c>
      <c r="S80" s="25">
        <f t="shared" si="61"/>
        <v>-6.7918367346938791E-2</v>
      </c>
      <c r="T80" s="25">
        <f t="shared" si="93"/>
        <v>0</v>
      </c>
      <c r="U80" s="25">
        <f t="shared" si="93"/>
        <v>0</v>
      </c>
      <c r="V80" s="25">
        <f t="shared" si="93"/>
        <v>0</v>
      </c>
      <c r="W80" s="25">
        <f t="shared" si="93"/>
        <v>-0.36</v>
      </c>
      <c r="X80" s="25">
        <f t="shared" si="93"/>
        <v>2.0408163265306048E-2</v>
      </c>
    </row>
    <row r="81" spans="1:24" x14ac:dyDescent="0.25">
      <c r="B81" s="7"/>
      <c r="C81" s="7"/>
      <c r="D81" s="7"/>
      <c r="E81" s="7"/>
      <c r="F81" s="7"/>
      <c r="G81" s="7"/>
      <c r="H81" s="7"/>
      <c r="J81" s="25"/>
      <c r="K81" s="25"/>
      <c r="L81" s="25"/>
      <c r="M81" s="25"/>
      <c r="N81" s="25"/>
      <c r="O81" s="25"/>
      <c r="P81" s="25"/>
      <c r="R81" s="25"/>
      <c r="S81" s="25"/>
      <c r="T81" s="25"/>
      <c r="U81" s="25"/>
      <c r="V81" s="25"/>
      <c r="W81" s="25"/>
      <c r="X81" s="25"/>
    </row>
    <row r="82" spans="1:24" x14ac:dyDescent="0.25">
      <c r="A82" s="2" t="s">
        <v>286</v>
      </c>
      <c r="B82" s="25">
        <f>+B73/B72</f>
        <v>0.20161834120026972</v>
      </c>
      <c r="C82" s="25">
        <f t="shared" ref="C82:H82" si="95">+C73/C72</f>
        <v>0.40046838407494145</v>
      </c>
      <c r="D82" s="25">
        <f t="shared" si="95"/>
        <v>0.64951456310679612</v>
      </c>
      <c r="E82" s="25">
        <f t="shared" si="95"/>
        <v>0.27358136039083053</v>
      </c>
      <c r="F82" s="25">
        <f t="shared" si="95"/>
        <v>9.4249624591467185E-2</v>
      </c>
      <c r="G82" s="25">
        <f t="shared" si="95"/>
        <v>-1.0058715596330274</v>
      </c>
      <c r="H82" s="25">
        <f t="shared" si="95"/>
        <v>-1.5517241379310345</v>
      </c>
      <c r="J82" s="25"/>
      <c r="K82" s="25"/>
      <c r="L82" s="25"/>
      <c r="M82" s="25"/>
      <c r="N82" s="25"/>
      <c r="O82" s="25"/>
      <c r="P82" s="25"/>
      <c r="R82" s="25"/>
      <c r="S82" s="25"/>
      <c r="T82" s="25"/>
      <c r="U82" s="25"/>
      <c r="V82" s="25"/>
      <c r="W82" s="25"/>
      <c r="X82" s="25"/>
    </row>
    <row r="83" spans="1:24" x14ac:dyDescent="0.25">
      <c r="B83" s="7"/>
      <c r="C83" s="7"/>
      <c r="D83" s="7"/>
      <c r="E83" s="7"/>
      <c r="F83" s="7"/>
      <c r="G83" s="7"/>
      <c r="H83" s="7"/>
      <c r="J83" s="25"/>
      <c r="K83" s="25"/>
      <c r="L83" s="25"/>
      <c r="M83" s="25"/>
      <c r="N83" s="25"/>
      <c r="O83" s="25"/>
      <c r="P83" s="25"/>
      <c r="R83" s="25"/>
      <c r="S83" s="25"/>
      <c r="T83" s="25"/>
      <c r="U83" s="25"/>
      <c r="V83" s="25"/>
      <c r="W83" s="25"/>
      <c r="X83" s="25"/>
    </row>
    <row r="84" spans="1:24" x14ac:dyDescent="0.25">
      <c r="A84" s="16" t="s">
        <v>287</v>
      </c>
      <c r="J84" s="25"/>
      <c r="K84" s="25"/>
      <c r="L84" s="25"/>
      <c r="M84" s="25"/>
      <c r="N84" s="25"/>
      <c r="O84" s="25"/>
      <c r="P84" s="25"/>
      <c r="R84" s="25"/>
      <c r="S84" s="25"/>
      <c r="T84" s="25"/>
      <c r="U84" s="25"/>
      <c r="V84" s="25"/>
      <c r="W84" s="25"/>
      <c r="X84" s="25"/>
    </row>
    <row r="85" spans="1:24" x14ac:dyDescent="0.25">
      <c r="A85" s="2" t="s">
        <v>217</v>
      </c>
      <c r="B85" s="8">
        <f>+B76</f>
        <v>2363</v>
      </c>
      <c r="C85" s="8">
        <f t="shared" ref="C85:G85" si="96">+C76</f>
        <v>1012</v>
      </c>
      <c r="D85" s="8">
        <f t="shared" si="96"/>
        <v>356</v>
      </c>
      <c r="E85" s="8">
        <f t="shared" si="96"/>
        <v>1935</v>
      </c>
      <c r="F85" s="8">
        <f t="shared" si="96"/>
        <v>-10192</v>
      </c>
      <c r="G85" s="8">
        <f t="shared" si="96"/>
        <v>10941</v>
      </c>
      <c r="J85" s="25"/>
      <c r="K85" s="25"/>
      <c r="L85" s="25"/>
      <c r="M85" s="25"/>
      <c r="N85" s="25"/>
      <c r="O85" s="25"/>
      <c r="P85" s="25"/>
      <c r="R85" s="25"/>
      <c r="S85" s="25"/>
      <c r="T85" s="25"/>
      <c r="U85" s="25"/>
      <c r="V85" s="25"/>
      <c r="W85" s="25"/>
      <c r="X85" s="25"/>
    </row>
    <row r="86" spans="1:24" x14ac:dyDescent="0.25">
      <c r="A86" s="5" t="s">
        <v>288</v>
      </c>
      <c r="B86" s="2">
        <f>+B73</f>
        <v>598</v>
      </c>
      <c r="C86" s="2">
        <f t="shared" ref="C86:G86" si="97">+C73</f>
        <v>684</v>
      </c>
      <c r="D86" s="2">
        <f t="shared" si="97"/>
        <v>669</v>
      </c>
      <c r="E86" s="2">
        <f t="shared" si="97"/>
        <v>728</v>
      </c>
      <c r="F86" s="2">
        <f t="shared" si="97"/>
        <v>-1067</v>
      </c>
      <c r="G86" s="2">
        <f t="shared" si="97"/>
        <v>-5482</v>
      </c>
      <c r="J86" s="25"/>
      <c r="K86" s="25"/>
      <c r="L86" s="25"/>
      <c r="M86" s="25"/>
      <c r="N86" s="25"/>
      <c r="O86" s="25"/>
      <c r="P86" s="25"/>
      <c r="R86" s="25"/>
      <c r="S86" s="25"/>
      <c r="T86" s="25"/>
      <c r="U86" s="25"/>
      <c r="V86" s="25"/>
      <c r="W86" s="25"/>
      <c r="X86" s="25"/>
    </row>
    <row r="87" spans="1:24" x14ac:dyDescent="0.25">
      <c r="A87" s="5" t="s">
        <v>289</v>
      </c>
      <c r="B87" s="27">
        <f>+B70</f>
        <v>921</v>
      </c>
      <c r="C87" s="27">
        <f t="shared" ref="C87:G87" si="98">+C70</f>
        <v>2047</v>
      </c>
      <c r="D87" s="27">
        <f t="shared" si="98"/>
        <v>1394</v>
      </c>
      <c r="E87" s="27">
        <f t="shared" si="98"/>
        <v>1361</v>
      </c>
      <c r="F87" s="27">
        <f t="shared" si="98"/>
        <v>1284</v>
      </c>
      <c r="G87" s="27">
        <f t="shared" si="98"/>
        <v>1234</v>
      </c>
      <c r="J87" s="25"/>
      <c r="K87" s="25"/>
      <c r="L87" s="25"/>
      <c r="M87" s="25"/>
      <c r="N87" s="25"/>
      <c r="O87" s="25"/>
      <c r="P87" s="25"/>
      <c r="R87" s="25"/>
      <c r="S87" s="25"/>
      <c r="T87" s="25"/>
      <c r="U87" s="25"/>
      <c r="V87" s="25"/>
      <c r="W87" s="25"/>
      <c r="X87" s="25"/>
    </row>
    <row r="88" spans="1:24" x14ac:dyDescent="0.25">
      <c r="A88" s="2" t="s">
        <v>247</v>
      </c>
      <c r="B88" s="2">
        <f>SUM(B85:B87)</f>
        <v>3882</v>
      </c>
      <c r="C88" s="2">
        <f t="shared" ref="C88:G88" si="99">SUM(C85:C87)</f>
        <v>3743</v>
      </c>
      <c r="D88" s="2">
        <f t="shared" si="99"/>
        <v>2419</v>
      </c>
      <c r="E88" s="2">
        <f t="shared" si="99"/>
        <v>4024</v>
      </c>
      <c r="F88" s="2">
        <f t="shared" si="99"/>
        <v>-9975</v>
      </c>
      <c r="G88" s="2">
        <f t="shared" si="99"/>
        <v>6693</v>
      </c>
      <c r="J88" s="25"/>
      <c r="K88" s="25"/>
      <c r="L88" s="25"/>
      <c r="M88" s="25"/>
      <c r="N88" s="25"/>
      <c r="O88" s="25"/>
      <c r="P88" s="25"/>
      <c r="R88" s="25"/>
      <c r="S88" s="25"/>
      <c r="T88" s="25"/>
      <c r="U88" s="25"/>
      <c r="V88" s="25"/>
      <c r="W88" s="25"/>
      <c r="X88" s="25"/>
    </row>
    <row r="89" spans="1:24" x14ac:dyDescent="0.25">
      <c r="A89" s="5" t="s">
        <v>290</v>
      </c>
      <c r="B89" s="2">
        <f>+B102</f>
        <v>933</v>
      </c>
      <c r="C89" s="2">
        <f t="shared" ref="C89:G89" si="100">+C102</f>
        <v>910</v>
      </c>
      <c r="D89" s="2">
        <f t="shared" si="100"/>
        <v>969</v>
      </c>
      <c r="E89" s="2">
        <f t="shared" si="100"/>
        <v>994</v>
      </c>
      <c r="F89" s="2">
        <f t="shared" si="100"/>
        <v>983</v>
      </c>
      <c r="G89" s="2">
        <f t="shared" si="100"/>
        <v>1031</v>
      </c>
      <c r="J89" s="25"/>
      <c r="K89" s="25"/>
      <c r="L89" s="25"/>
      <c r="M89" s="25"/>
      <c r="N89" s="25"/>
      <c r="O89" s="25"/>
      <c r="P89" s="25"/>
      <c r="R89" s="25"/>
      <c r="S89" s="25"/>
      <c r="T89" s="25"/>
      <c r="U89" s="25"/>
      <c r="V89" s="25"/>
      <c r="W89" s="25"/>
      <c r="X89" s="25"/>
    </row>
    <row r="90" spans="1:24" ht="15.75" thickBot="1" x14ac:dyDescent="0.3">
      <c r="A90" s="2" t="s">
        <v>291</v>
      </c>
      <c r="B90" s="9">
        <f>+B89+B88</f>
        <v>4815</v>
      </c>
      <c r="C90" s="9">
        <f t="shared" ref="C90:G90" si="101">+C89+C88</f>
        <v>4653</v>
      </c>
      <c r="D90" s="9">
        <f t="shared" si="101"/>
        <v>3388</v>
      </c>
      <c r="E90" s="9">
        <f t="shared" si="101"/>
        <v>5018</v>
      </c>
      <c r="F90" s="9">
        <f t="shared" si="101"/>
        <v>-8992</v>
      </c>
      <c r="G90" s="9">
        <f t="shared" si="101"/>
        <v>7724</v>
      </c>
      <c r="J90" s="25"/>
      <c r="K90" s="25"/>
      <c r="L90" s="25"/>
      <c r="M90" s="25"/>
      <c r="N90" s="25"/>
      <c r="O90" s="25"/>
      <c r="P90" s="25"/>
      <c r="R90" s="25"/>
      <c r="S90" s="25"/>
      <c r="T90" s="25"/>
      <c r="U90" s="25"/>
      <c r="V90" s="25"/>
      <c r="W90" s="25"/>
      <c r="X90" s="25"/>
    </row>
    <row r="91" spans="1:24" ht="15.75" thickTop="1" x14ac:dyDescent="0.25">
      <c r="J91" s="25"/>
      <c r="K91" s="25"/>
      <c r="L91" s="25"/>
      <c r="M91" s="25"/>
      <c r="N91" s="25"/>
      <c r="O91" s="25"/>
      <c r="P91" s="25"/>
      <c r="R91" s="25"/>
      <c r="S91" s="25"/>
      <c r="T91" s="25"/>
      <c r="U91" s="25"/>
      <c r="V91" s="25"/>
      <c r="W91" s="25"/>
      <c r="X91" s="25"/>
    </row>
    <row r="92" spans="1:24" x14ac:dyDescent="0.25">
      <c r="A92" s="2" t="s">
        <v>216</v>
      </c>
      <c r="B92" s="8">
        <f>+B69</f>
        <v>3634</v>
      </c>
      <c r="C92" s="8">
        <f t="shared" ref="C92:G92" si="102">+C69</f>
        <v>3460</v>
      </c>
      <c r="D92" s="8">
        <f t="shared" si="102"/>
        <v>2128</v>
      </c>
      <c r="E92" s="8">
        <f t="shared" si="102"/>
        <v>3070</v>
      </c>
      <c r="F92" s="8">
        <f t="shared" si="102"/>
        <v>-10205</v>
      </c>
      <c r="G92" s="8">
        <f t="shared" si="102"/>
        <v>6057</v>
      </c>
      <c r="J92" s="25"/>
      <c r="K92" s="25"/>
      <c r="L92" s="25"/>
      <c r="M92" s="25"/>
      <c r="N92" s="25"/>
      <c r="O92" s="25"/>
      <c r="P92" s="25"/>
      <c r="R92" s="25"/>
      <c r="S92" s="25"/>
      <c r="T92" s="25"/>
      <c r="U92" s="25"/>
      <c r="V92" s="25"/>
      <c r="W92" s="25"/>
      <c r="X92" s="25"/>
    </row>
    <row r="93" spans="1:24" x14ac:dyDescent="0.25">
      <c r="A93" s="5" t="s">
        <v>292</v>
      </c>
      <c r="B93" s="2">
        <f>-B71</f>
        <v>253</v>
      </c>
      <c r="C93" s="2">
        <f t="shared" ref="C93:G93" si="103">-C71</f>
        <v>295</v>
      </c>
      <c r="D93" s="2">
        <f t="shared" si="103"/>
        <v>296</v>
      </c>
      <c r="E93" s="2">
        <f t="shared" si="103"/>
        <v>952</v>
      </c>
      <c r="F93" s="2">
        <f t="shared" si="103"/>
        <v>168</v>
      </c>
      <c r="G93" s="2">
        <f t="shared" si="103"/>
        <v>627</v>
      </c>
      <c r="J93" s="25"/>
      <c r="K93" s="25"/>
      <c r="L93" s="25"/>
      <c r="M93" s="25"/>
      <c r="N93" s="25"/>
      <c r="O93" s="25"/>
      <c r="P93" s="25"/>
      <c r="R93" s="25"/>
      <c r="S93" s="25"/>
      <c r="T93" s="25"/>
      <c r="U93" s="25"/>
      <c r="V93" s="25"/>
      <c r="W93" s="25"/>
      <c r="X93" s="25"/>
    </row>
    <row r="94" spans="1:24" x14ac:dyDescent="0.25">
      <c r="A94" s="5" t="s">
        <v>105</v>
      </c>
      <c r="B94" s="2">
        <f>-B75</f>
        <v>-5</v>
      </c>
      <c r="C94" s="2">
        <f t="shared" ref="C94:G94" si="104">-C75</f>
        <v>-12</v>
      </c>
      <c r="D94" s="2">
        <f t="shared" si="104"/>
        <v>-5</v>
      </c>
      <c r="E94" s="2">
        <f t="shared" si="104"/>
        <v>2</v>
      </c>
      <c r="F94" s="2">
        <f t="shared" si="104"/>
        <v>62</v>
      </c>
      <c r="G94" s="2">
        <f t="shared" si="104"/>
        <v>9</v>
      </c>
      <c r="J94" s="25"/>
      <c r="K94" s="25"/>
      <c r="L94" s="25"/>
      <c r="M94" s="25"/>
      <c r="N94" s="25"/>
      <c r="O94" s="25"/>
      <c r="P94" s="25"/>
      <c r="R94" s="25"/>
      <c r="S94" s="25"/>
      <c r="T94" s="25"/>
      <c r="U94" s="25"/>
      <c r="V94" s="25"/>
      <c r="W94" s="25"/>
      <c r="X94" s="25"/>
    </row>
    <row r="95" spans="1:24" ht="15.75" thickBot="1" x14ac:dyDescent="0.3">
      <c r="A95" s="2" t="s">
        <v>247</v>
      </c>
      <c r="B95" s="9">
        <f>+SUM(B92:B94)</f>
        <v>3882</v>
      </c>
      <c r="C95" s="9">
        <f t="shared" ref="C95:G95" si="105">+SUM(C92:C94)</f>
        <v>3743</v>
      </c>
      <c r="D95" s="9">
        <f t="shared" si="105"/>
        <v>2419</v>
      </c>
      <c r="E95" s="9">
        <f t="shared" si="105"/>
        <v>4024</v>
      </c>
      <c r="F95" s="9">
        <f t="shared" si="105"/>
        <v>-9975</v>
      </c>
      <c r="G95" s="9">
        <f t="shared" si="105"/>
        <v>6693</v>
      </c>
      <c r="J95" s="25"/>
      <c r="K95" s="25"/>
      <c r="L95" s="25"/>
      <c r="M95" s="25"/>
      <c r="N95" s="25"/>
      <c r="O95" s="25"/>
      <c r="P95" s="25"/>
      <c r="R95" s="25"/>
      <c r="S95" s="25"/>
      <c r="T95" s="25"/>
      <c r="U95" s="25"/>
      <c r="V95" s="25"/>
      <c r="W95" s="25"/>
      <c r="X95" s="25"/>
    </row>
    <row r="96" spans="1:24" ht="15.75" thickTop="1" x14ac:dyDescent="0.25">
      <c r="J96" s="25"/>
      <c r="K96" s="25"/>
      <c r="L96" s="25"/>
      <c r="M96" s="25"/>
      <c r="N96" s="25"/>
      <c r="O96" s="25"/>
      <c r="P96" s="25"/>
      <c r="R96" s="25"/>
      <c r="S96" s="25"/>
      <c r="T96" s="25"/>
      <c r="U96" s="25"/>
      <c r="V96" s="25"/>
      <c r="W96" s="25"/>
      <c r="X96" s="25"/>
    </row>
    <row r="97" spans="1:24" s="53" customFormat="1" x14ac:dyDescent="0.25">
      <c r="A97" s="66" t="str">
        <f>+A1</f>
        <v>Kraft Heinz Company</v>
      </c>
      <c r="B97" s="66" t="str">
        <f>+B1</f>
        <v>Reclassified</v>
      </c>
      <c r="C97" s="66"/>
      <c r="D97" s="66"/>
      <c r="E97" s="66"/>
      <c r="F97" s="66"/>
      <c r="G97" s="66"/>
      <c r="H97" s="66"/>
      <c r="J97" s="66" t="str">
        <f>+B97</f>
        <v>Reclassified</v>
      </c>
      <c r="K97" s="66"/>
      <c r="L97" s="66"/>
      <c r="M97" s="66"/>
      <c r="N97" s="66"/>
      <c r="O97" s="66"/>
      <c r="R97" s="66" t="str">
        <f>+B97</f>
        <v>Reclassified</v>
      </c>
      <c r="S97" s="66"/>
      <c r="T97" s="66"/>
      <c r="U97" s="66"/>
      <c r="V97" s="66"/>
      <c r="W97" s="66"/>
      <c r="X97" s="66"/>
    </row>
    <row r="98" spans="1:24" s="53" customFormat="1" x14ac:dyDescent="0.25">
      <c r="A98" s="66" t="s">
        <v>134</v>
      </c>
      <c r="B98" s="66"/>
      <c r="C98" s="66"/>
      <c r="D98" s="66"/>
      <c r="E98" s="66"/>
      <c r="F98" s="66"/>
      <c r="G98" s="66"/>
      <c r="H98" s="66"/>
      <c r="J98" s="66" t="s">
        <v>135</v>
      </c>
      <c r="K98" s="66"/>
      <c r="L98" s="66"/>
      <c r="M98" s="66"/>
      <c r="N98" s="66"/>
      <c r="O98" s="66"/>
      <c r="R98" s="66" t="s">
        <v>63</v>
      </c>
      <c r="S98" s="66"/>
      <c r="T98" s="66"/>
      <c r="U98" s="66"/>
      <c r="V98" s="66"/>
      <c r="W98" s="66"/>
      <c r="X98" s="66"/>
    </row>
    <row r="99" spans="1:24" s="53" customFormat="1" x14ac:dyDescent="0.25">
      <c r="A99" s="66" t="str">
        <f>+A3</f>
        <v>in millions except per share data</v>
      </c>
      <c r="B99" s="66"/>
      <c r="C99" s="66"/>
      <c r="D99" s="66"/>
      <c r="E99" s="66"/>
      <c r="F99" s="66" t="s">
        <v>262</v>
      </c>
      <c r="G99" s="67" t="s">
        <v>66</v>
      </c>
      <c r="H99" s="67"/>
      <c r="J99" s="66"/>
      <c r="K99" s="66"/>
      <c r="L99" s="66"/>
      <c r="M99" s="66"/>
      <c r="N99" s="66"/>
      <c r="O99" s="67" t="s">
        <v>66</v>
      </c>
      <c r="P99" s="65"/>
      <c r="R99" s="66" t="s">
        <v>67</v>
      </c>
      <c r="S99" s="66" t="s">
        <v>68</v>
      </c>
      <c r="T99" s="66" t="s">
        <v>69</v>
      </c>
      <c r="U99" s="66" t="s">
        <v>70</v>
      </c>
      <c r="V99" s="66" t="s">
        <v>71</v>
      </c>
      <c r="W99" s="66" t="s">
        <v>72</v>
      </c>
      <c r="X99" s="66" t="s">
        <v>73</v>
      </c>
    </row>
    <row r="100" spans="1:24" s="53" customFormat="1" ht="15.75" thickBot="1" x14ac:dyDescent="0.3">
      <c r="A100" s="67" t="str">
        <f>+A4</f>
        <v>Fiscal Year ended 12/31:</v>
      </c>
      <c r="B100" s="71">
        <v>2022</v>
      </c>
      <c r="C100" s="71">
        <v>2021</v>
      </c>
      <c r="D100" s="71">
        <v>2020</v>
      </c>
      <c r="E100" s="71">
        <v>2019</v>
      </c>
      <c r="F100" s="71">
        <v>2018</v>
      </c>
      <c r="G100" s="71">
        <v>2017</v>
      </c>
      <c r="H100" s="78" t="s">
        <v>275</v>
      </c>
      <c r="J100" s="71">
        <v>2022</v>
      </c>
      <c r="K100" s="71">
        <v>2021</v>
      </c>
      <c r="L100" s="71">
        <v>2020</v>
      </c>
      <c r="M100" s="71">
        <v>2019</v>
      </c>
      <c r="N100" s="71">
        <v>2018</v>
      </c>
      <c r="O100" s="71">
        <v>2017</v>
      </c>
      <c r="P100" s="77"/>
      <c r="R100" s="70" t="s">
        <v>75</v>
      </c>
      <c r="S100" s="70" t="s">
        <v>76</v>
      </c>
      <c r="T100" s="71">
        <v>2022</v>
      </c>
      <c r="U100" s="71">
        <v>2021</v>
      </c>
      <c r="V100" s="71">
        <v>2020</v>
      </c>
      <c r="W100" s="71">
        <v>2019</v>
      </c>
      <c r="X100" s="71">
        <v>2018</v>
      </c>
    </row>
    <row r="101" spans="1:24" hidden="1" x14ac:dyDescent="0.25">
      <c r="A101" s="2" t="s">
        <v>293</v>
      </c>
      <c r="B101" s="8">
        <f>+'As Reported'!B68</f>
        <v>2368</v>
      </c>
      <c r="C101" s="8">
        <f>+'As Reported'!C68</f>
        <v>1024</v>
      </c>
      <c r="D101" s="8">
        <f>+'As Reported'!D68</f>
        <v>361</v>
      </c>
      <c r="E101" s="8">
        <f>+'As Reported'!E68</f>
        <v>1933</v>
      </c>
      <c r="F101" s="8">
        <f>+'As Reported'!F68</f>
        <v>-10254</v>
      </c>
      <c r="G101" s="8">
        <f>+'As Reported'!G68</f>
        <v>10932</v>
      </c>
      <c r="H101" s="32">
        <f>SUM(B101:G101)</f>
        <v>6364</v>
      </c>
      <c r="J101" s="25"/>
      <c r="K101" s="25"/>
      <c r="L101" s="25"/>
      <c r="M101" s="25"/>
      <c r="N101" s="25"/>
      <c r="O101" s="25"/>
      <c r="P101" s="25"/>
      <c r="R101" s="25">
        <f t="shared" si="60"/>
        <v>-0.26356161826246205</v>
      </c>
      <c r="S101" s="25">
        <f t="shared" si="61"/>
        <v>-0.15813412150269723</v>
      </c>
      <c r="T101" s="25">
        <f t="shared" ref="T101:T121" si="106">(+B101-C101)/C101</f>
        <v>1.3125</v>
      </c>
      <c r="U101" s="25">
        <f t="shared" ref="U101:U121" si="107">(+C101-D101)/D101</f>
        <v>1.8365650969529086</v>
      </c>
      <c r="V101" s="25">
        <f t="shared" ref="V101:V121" si="108">(+D101-E101)/E101</f>
        <v>-0.81324366270046555</v>
      </c>
      <c r="W101" s="25">
        <f t="shared" ref="W101:W121" si="109">(+E101-F101)/F101</f>
        <v>-1.1885118002730641</v>
      </c>
      <c r="X101" s="25">
        <f t="shared" ref="X101:X121" si="110">(+F101-G101)/G101</f>
        <v>-1.9379802414928651</v>
      </c>
    </row>
    <row r="102" spans="1:24" hidden="1" x14ac:dyDescent="0.25">
      <c r="A102" s="5" t="s">
        <v>137</v>
      </c>
      <c r="B102" s="2">
        <v>933</v>
      </c>
      <c r="C102" s="2">
        <v>910</v>
      </c>
      <c r="D102" s="2">
        <v>969</v>
      </c>
      <c r="E102" s="2">
        <v>994</v>
      </c>
      <c r="F102" s="2">
        <v>983</v>
      </c>
      <c r="G102" s="2">
        <v>1031</v>
      </c>
      <c r="H102" s="30">
        <f>SUM(B102:G102)</f>
        <v>5820</v>
      </c>
      <c r="J102" s="25"/>
      <c r="K102" s="25"/>
      <c r="L102" s="25"/>
      <c r="M102" s="25"/>
      <c r="N102" s="25"/>
      <c r="O102" s="25"/>
      <c r="P102" s="25"/>
      <c r="R102" s="25">
        <f t="shared" si="60"/>
        <v>-1.9777661112159107E-2</v>
      </c>
      <c r="S102" s="25">
        <f t="shared" si="61"/>
        <v>-1.9226040021655122E-2</v>
      </c>
      <c r="T102" s="25">
        <f t="shared" si="106"/>
        <v>2.5274725274725275E-2</v>
      </c>
      <c r="U102" s="25">
        <f t="shared" si="107"/>
        <v>-6.0887512899896801E-2</v>
      </c>
      <c r="V102" s="25">
        <f t="shared" si="108"/>
        <v>-2.5150905432595575E-2</v>
      </c>
      <c r="W102" s="25">
        <f t="shared" si="109"/>
        <v>1.1190233977619531E-2</v>
      </c>
      <c r="X102" s="25">
        <f t="shared" si="110"/>
        <v>-4.6556741028128033E-2</v>
      </c>
    </row>
    <row r="103" spans="1:24" hidden="1" x14ac:dyDescent="0.25">
      <c r="A103" s="5" t="s">
        <v>138</v>
      </c>
      <c r="B103" s="2">
        <v>-14</v>
      </c>
      <c r="C103" s="2">
        <v>-7</v>
      </c>
      <c r="D103" s="2">
        <v>-122</v>
      </c>
      <c r="E103" s="2">
        <v>-306</v>
      </c>
      <c r="F103" s="2">
        <v>-339</v>
      </c>
      <c r="G103" s="2">
        <v>-328</v>
      </c>
      <c r="H103" s="30">
        <f t="shared" ref="H103:H121" si="111">SUM(B103:G103)</f>
        <v>-1116</v>
      </c>
      <c r="J103" s="25"/>
      <c r="K103" s="25"/>
      <c r="L103" s="25"/>
      <c r="M103" s="25"/>
      <c r="N103" s="25"/>
      <c r="O103" s="25"/>
      <c r="P103" s="25"/>
      <c r="R103" s="25">
        <f t="shared" si="60"/>
        <v>-0.46782944863591575</v>
      </c>
      <c r="S103" s="25">
        <f t="shared" si="61"/>
        <v>-0.12154773754793299</v>
      </c>
      <c r="T103" s="25">
        <f t="shared" si="106"/>
        <v>1</v>
      </c>
      <c r="U103" s="25">
        <f t="shared" si="107"/>
        <v>-0.94262295081967218</v>
      </c>
      <c r="V103" s="25">
        <f t="shared" si="108"/>
        <v>-0.60130718954248363</v>
      </c>
      <c r="W103" s="25">
        <f t="shared" si="109"/>
        <v>-9.7345132743362831E-2</v>
      </c>
      <c r="X103" s="25">
        <f t="shared" si="110"/>
        <v>3.3536585365853661E-2</v>
      </c>
    </row>
    <row r="104" spans="1:24" hidden="1" x14ac:dyDescent="0.25">
      <c r="A104" s="5" t="s">
        <v>294</v>
      </c>
      <c r="B104" s="2">
        <v>-56</v>
      </c>
      <c r="C104" s="2">
        <v>-4</v>
      </c>
      <c r="D104" s="2">
        <v>0</v>
      </c>
      <c r="E104" s="2">
        <v>0</v>
      </c>
      <c r="F104" s="2">
        <v>0</v>
      </c>
      <c r="G104" s="2">
        <v>0</v>
      </c>
      <c r="H104" s="30">
        <f t="shared" si="111"/>
        <v>-60</v>
      </c>
      <c r="J104" s="25"/>
      <c r="K104" s="25"/>
      <c r="L104" s="25"/>
      <c r="M104" s="25"/>
      <c r="N104" s="25"/>
      <c r="O104" s="25"/>
      <c r="P104" s="25"/>
      <c r="R104" s="25" t="e">
        <f t="shared" si="60"/>
        <v>#NUM!</v>
      </c>
      <c r="S104" s="25" t="e">
        <f t="shared" si="61"/>
        <v>#DIV/0!</v>
      </c>
      <c r="T104" s="25">
        <f t="shared" si="106"/>
        <v>13</v>
      </c>
      <c r="U104" s="25" t="e">
        <f t="shared" si="107"/>
        <v>#DIV/0!</v>
      </c>
      <c r="V104" s="25" t="e">
        <f t="shared" si="108"/>
        <v>#DIV/0!</v>
      </c>
      <c r="W104" s="25" t="e">
        <f t="shared" si="109"/>
        <v>#DIV/0!</v>
      </c>
      <c r="X104" s="25" t="e">
        <f t="shared" si="110"/>
        <v>#DIV/0!</v>
      </c>
    </row>
    <row r="105" spans="1:24" hidden="1" x14ac:dyDescent="0.25">
      <c r="A105" s="5" t="s">
        <v>142</v>
      </c>
      <c r="B105" s="2">
        <v>148</v>
      </c>
      <c r="C105" s="2">
        <v>197</v>
      </c>
      <c r="D105" s="2">
        <v>156</v>
      </c>
      <c r="E105" s="2">
        <v>46</v>
      </c>
      <c r="F105" s="2">
        <v>33</v>
      </c>
      <c r="G105" s="2">
        <v>46</v>
      </c>
      <c r="H105" s="30">
        <f t="shared" si="111"/>
        <v>626</v>
      </c>
      <c r="J105" s="25"/>
      <c r="K105" s="25"/>
      <c r="L105" s="25"/>
      <c r="M105" s="25"/>
      <c r="N105" s="25"/>
      <c r="O105" s="25"/>
      <c r="P105" s="25"/>
      <c r="R105" s="25">
        <f t="shared" si="60"/>
        <v>0.2632833632037212</v>
      </c>
      <c r="S105" s="25">
        <f t="shared" si="61"/>
        <v>0.50334491889336297</v>
      </c>
      <c r="T105" s="25">
        <f t="shared" si="106"/>
        <v>-0.24873096446700507</v>
      </c>
      <c r="U105" s="25">
        <f t="shared" si="107"/>
        <v>0.26282051282051283</v>
      </c>
      <c r="V105" s="25">
        <f t="shared" si="108"/>
        <v>2.3913043478260869</v>
      </c>
      <c r="W105" s="25">
        <f t="shared" si="109"/>
        <v>0.39393939393939392</v>
      </c>
      <c r="X105" s="25">
        <f t="shared" si="110"/>
        <v>-0.28260869565217389</v>
      </c>
    </row>
    <row r="106" spans="1:24" hidden="1" x14ac:dyDescent="0.25">
      <c r="A106" s="5" t="s">
        <v>93</v>
      </c>
      <c r="B106" s="2">
        <v>-278</v>
      </c>
      <c r="C106" s="2">
        <v>-1042</v>
      </c>
      <c r="D106" s="2">
        <v>-343</v>
      </c>
      <c r="E106" s="2">
        <v>-293</v>
      </c>
      <c r="F106" s="2">
        <v>-1967</v>
      </c>
      <c r="G106" s="2">
        <v>-6495</v>
      </c>
      <c r="H106" s="30">
        <f t="shared" si="111"/>
        <v>-10418</v>
      </c>
      <c r="J106" s="25"/>
      <c r="K106" s="25"/>
      <c r="L106" s="25"/>
      <c r="M106" s="25"/>
      <c r="N106" s="25"/>
      <c r="O106" s="25"/>
      <c r="P106" s="25"/>
      <c r="R106" s="25">
        <f t="shared" si="60"/>
        <v>-0.46753247175287116</v>
      </c>
      <c r="S106" s="25">
        <f t="shared" si="61"/>
        <v>-1.4569977367617493E-2</v>
      </c>
      <c r="T106" s="25">
        <f t="shared" si="106"/>
        <v>-0.73320537428023036</v>
      </c>
      <c r="U106" s="25">
        <f t="shared" si="107"/>
        <v>2.0379008746355685</v>
      </c>
      <c r="V106" s="25">
        <f t="shared" si="108"/>
        <v>0.17064846416382254</v>
      </c>
      <c r="W106" s="25">
        <f t="shared" si="109"/>
        <v>-0.85104219623792576</v>
      </c>
      <c r="X106" s="25">
        <f t="shared" si="110"/>
        <v>-0.69715165511932253</v>
      </c>
    </row>
    <row r="107" spans="1:24" hidden="1" x14ac:dyDescent="0.25">
      <c r="A107" s="5" t="s">
        <v>143</v>
      </c>
      <c r="B107" s="2">
        <v>-23</v>
      </c>
      <c r="C107" s="2">
        <v>-27</v>
      </c>
      <c r="D107" s="2">
        <v>-27</v>
      </c>
      <c r="E107" s="2">
        <v>-32</v>
      </c>
      <c r="F107" s="2">
        <v>-76</v>
      </c>
      <c r="G107" s="2">
        <v>-1659</v>
      </c>
      <c r="H107" s="30">
        <f t="shared" si="111"/>
        <v>-1844</v>
      </c>
      <c r="J107" s="25"/>
      <c r="K107" s="25"/>
      <c r="L107" s="25"/>
      <c r="M107" s="25"/>
      <c r="N107" s="25"/>
      <c r="O107" s="25"/>
      <c r="P107" s="25"/>
      <c r="R107" s="25">
        <f t="shared" si="60"/>
        <v>-0.57501236935767197</v>
      </c>
      <c r="S107" s="25">
        <f t="shared" si="61"/>
        <v>-0.36750695744283352</v>
      </c>
      <c r="T107" s="25">
        <f t="shared" si="106"/>
        <v>-0.14814814814814814</v>
      </c>
      <c r="U107" s="25">
        <f t="shared" si="107"/>
        <v>0</v>
      </c>
      <c r="V107" s="25">
        <f t="shared" si="108"/>
        <v>-0.15625</v>
      </c>
      <c r="W107" s="25">
        <f t="shared" si="109"/>
        <v>-0.57894736842105265</v>
      </c>
      <c r="X107" s="25">
        <f t="shared" si="110"/>
        <v>-0.95418927064496684</v>
      </c>
    </row>
    <row r="108" spans="1:24" hidden="1" x14ac:dyDescent="0.25">
      <c r="A108" s="5" t="s">
        <v>144</v>
      </c>
      <c r="B108" s="2">
        <v>913</v>
      </c>
      <c r="C108" s="2">
        <v>1634</v>
      </c>
      <c r="D108" s="2">
        <v>3399</v>
      </c>
      <c r="E108" s="2">
        <v>1899</v>
      </c>
      <c r="F108" s="2">
        <v>15936</v>
      </c>
      <c r="G108" s="2">
        <v>49</v>
      </c>
      <c r="H108" s="30">
        <f t="shared" si="111"/>
        <v>23830</v>
      </c>
      <c r="J108" s="25"/>
      <c r="K108" s="25"/>
      <c r="L108" s="25"/>
      <c r="M108" s="25"/>
      <c r="N108" s="25"/>
      <c r="O108" s="25"/>
      <c r="P108" s="25"/>
      <c r="R108" s="25">
        <f t="shared" si="60"/>
        <v>0.79496068015980603</v>
      </c>
      <c r="S108" s="25">
        <f t="shared" si="61"/>
        <v>64.634604904875033</v>
      </c>
      <c r="T108" s="25">
        <f t="shared" si="106"/>
        <v>-0.44124847001223988</v>
      </c>
      <c r="U108" s="25">
        <f t="shared" si="107"/>
        <v>-0.51927037363930573</v>
      </c>
      <c r="V108" s="25">
        <f t="shared" si="108"/>
        <v>0.78988941548183256</v>
      </c>
      <c r="W108" s="25">
        <f t="shared" si="109"/>
        <v>-0.88083584337349397</v>
      </c>
      <c r="X108" s="25">
        <f t="shared" si="110"/>
        <v>324.22448979591837</v>
      </c>
    </row>
    <row r="109" spans="1:24" hidden="1" x14ac:dyDescent="0.25">
      <c r="A109" s="5" t="s">
        <v>145</v>
      </c>
      <c r="B109" s="2">
        <v>17</v>
      </c>
      <c r="C109" s="2">
        <v>0</v>
      </c>
      <c r="D109" s="2">
        <v>6</v>
      </c>
      <c r="E109" s="2">
        <v>10</v>
      </c>
      <c r="F109" s="2">
        <v>146</v>
      </c>
      <c r="G109" s="2">
        <v>36</v>
      </c>
      <c r="H109" s="30">
        <f t="shared" si="111"/>
        <v>215</v>
      </c>
      <c r="J109" s="25"/>
      <c r="K109" s="25"/>
      <c r="L109" s="25"/>
      <c r="M109" s="25"/>
      <c r="N109" s="25"/>
      <c r="O109" s="25"/>
      <c r="P109" s="25"/>
      <c r="R109" s="25">
        <f t="shared" si="60"/>
        <v>-0.13934462747481444</v>
      </c>
      <c r="S109" s="25" t="e">
        <f t="shared" si="61"/>
        <v>#DIV/0!</v>
      </c>
      <c r="T109" s="25" t="e">
        <f t="shared" si="106"/>
        <v>#DIV/0!</v>
      </c>
      <c r="U109" s="25">
        <f t="shared" si="107"/>
        <v>-1</v>
      </c>
      <c r="V109" s="25">
        <f t="shared" si="108"/>
        <v>-0.4</v>
      </c>
      <c r="W109" s="25">
        <f t="shared" si="109"/>
        <v>-0.93150684931506844</v>
      </c>
      <c r="X109" s="25">
        <f t="shared" si="110"/>
        <v>3.0555555555555554</v>
      </c>
    </row>
    <row r="110" spans="1:24" hidden="1" x14ac:dyDescent="0.25">
      <c r="A110" s="5" t="s">
        <v>147</v>
      </c>
      <c r="B110" s="2">
        <v>-25</v>
      </c>
      <c r="C110" s="2">
        <v>-44</v>
      </c>
      <c r="D110" s="2">
        <v>2</v>
      </c>
      <c r="E110" s="2">
        <v>-420</v>
      </c>
      <c r="F110" s="2">
        <v>15</v>
      </c>
      <c r="G110" s="2">
        <v>0</v>
      </c>
      <c r="H110" s="30">
        <f t="shared" si="111"/>
        <v>-472</v>
      </c>
      <c r="J110" s="25"/>
      <c r="K110" s="25"/>
      <c r="L110" s="25"/>
      <c r="M110" s="25"/>
      <c r="N110" s="25"/>
      <c r="O110" s="25"/>
      <c r="P110" s="25"/>
      <c r="R110" s="25" t="e">
        <f t="shared" si="60"/>
        <v>#NUM!</v>
      </c>
      <c r="S110" s="25" t="e">
        <f t="shared" si="61"/>
        <v>#DIV/0!</v>
      </c>
      <c r="T110" s="25">
        <f t="shared" si="106"/>
        <v>-0.43181818181818182</v>
      </c>
      <c r="U110" s="25">
        <f t="shared" si="107"/>
        <v>-23</v>
      </c>
      <c r="V110" s="25">
        <f t="shared" si="108"/>
        <v>-1.0047619047619047</v>
      </c>
      <c r="W110" s="25">
        <f t="shared" si="109"/>
        <v>-29</v>
      </c>
      <c r="X110" s="25" t="e">
        <f t="shared" si="110"/>
        <v>#DIV/0!</v>
      </c>
    </row>
    <row r="111" spans="1:24" hidden="1" x14ac:dyDescent="0.25">
      <c r="A111" s="5" t="s">
        <v>295</v>
      </c>
      <c r="B111" s="2">
        <v>0</v>
      </c>
      <c r="C111" s="2">
        <v>1587</v>
      </c>
      <c r="D111" s="2">
        <v>0</v>
      </c>
      <c r="E111" s="2">
        <v>0</v>
      </c>
      <c r="F111" s="2">
        <v>0</v>
      </c>
      <c r="G111" s="2">
        <v>0</v>
      </c>
      <c r="H111" s="30">
        <f t="shared" si="111"/>
        <v>1587</v>
      </c>
      <c r="J111" s="25"/>
      <c r="K111" s="25"/>
      <c r="L111" s="25"/>
      <c r="M111" s="25"/>
      <c r="N111" s="25"/>
      <c r="O111" s="25"/>
      <c r="P111" s="25"/>
      <c r="R111" s="25" t="e">
        <f t="shared" si="60"/>
        <v>#NUM!</v>
      </c>
      <c r="S111" s="25" t="e">
        <f t="shared" si="61"/>
        <v>#DIV/0!</v>
      </c>
      <c r="T111" s="25">
        <f t="shared" si="106"/>
        <v>-1</v>
      </c>
      <c r="U111" s="25" t="e">
        <f t="shared" si="107"/>
        <v>#DIV/0!</v>
      </c>
      <c r="V111" s="25" t="e">
        <f t="shared" si="108"/>
        <v>#DIV/0!</v>
      </c>
      <c r="W111" s="25" t="e">
        <f t="shared" si="109"/>
        <v>#DIV/0!</v>
      </c>
      <c r="X111" s="25" t="e">
        <f t="shared" si="110"/>
        <v>#DIV/0!</v>
      </c>
    </row>
    <row r="112" spans="1:24" hidden="1" x14ac:dyDescent="0.25">
      <c r="A112" s="5" t="s">
        <v>149</v>
      </c>
      <c r="B112" s="2">
        <v>-38</v>
      </c>
      <c r="C112" s="2">
        <v>917</v>
      </c>
      <c r="D112" s="2">
        <v>124</v>
      </c>
      <c r="E112" s="2">
        <v>0</v>
      </c>
      <c r="F112" s="2">
        <v>0</v>
      </c>
      <c r="G112" s="2">
        <v>0</v>
      </c>
      <c r="H112" s="30">
        <f t="shared" si="111"/>
        <v>1003</v>
      </c>
      <c r="J112" s="25"/>
      <c r="K112" s="25"/>
      <c r="L112" s="25"/>
      <c r="M112" s="25"/>
      <c r="N112" s="25"/>
      <c r="O112" s="25"/>
      <c r="P112" s="25"/>
      <c r="R112" s="25" t="e">
        <f t="shared" si="60"/>
        <v>#NUM!</v>
      </c>
      <c r="S112" s="25" t="e">
        <f t="shared" si="61"/>
        <v>#DIV/0!</v>
      </c>
      <c r="T112" s="25">
        <f t="shared" si="106"/>
        <v>-1.0414394765539803</v>
      </c>
      <c r="U112" s="25">
        <f t="shared" si="107"/>
        <v>6.395161290322581</v>
      </c>
      <c r="V112" s="25" t="e">
        <f t="shared" si="108"/>
        <v>#DIV/0!</v>
      </c>
      <c r="W112" s="25" t="e">
        <f t="shared" si="109"/>
        <v>#DIV/0!</v>
      </c>
      <c r="X112" s="25" t="e">
        <f t="shared" si="110"/>
        <v>#DIV/0!</v>
      </c>
    </row>
    <row r="113" spans="1:24" hidden="1" x14ac:dyDescent="0.25">
      <c r="A113" s="5" t="s">
        <v>150</v>
      </c>
      <c r="B113" s="2">
        <v>7</v>
      </c>
      <c r="C113" s="2">
        <v>-187</v>
      </c>
      <c r="D113" s="2">
        <v>-54</v>
      </c>
      <c r="E113" s="2">
        <v>-46</v>
      </c>
      <c r="F113" s="2">
        <v>160</v>
      </c>
      <c r="G113" s="2">
        <v>253</v>
      </c>
      <c r="H113" s="30">
        <f t="shared" si="111"/>
        <v>133</v>
      </c>
      <c r="J113" s="25"/>
      <c r="K113" s="25"/>
      <c r="L113" s="25"/>
      <c r="M113" s="25"/>
      <c r="N113" s="25"/>
      <c r="O113" s="25"/>
      <c r="P113" s="25"/>
      <c r="R113" s="26">
        <f t="shared" si="60"/>
        <v>-0.51202732470001944</v>
      </c>
      <c r="S113" s="26">
        <f t="shared" si="61"/>
        <v>-1.1129216289062849E-2</v>
      </c>
      <c r="T113" s="26">
        <f t="shared" si="106"/>
        <v>-1.0374331550802138</v>
      </c>
      <c r="U113" s="26">
        <f t="shared" si="107"/>
        <v>2.4629629629629628</v>
      </c>
      <c r="V113" s="26">
        <f t="shared" si="108"/>
        <v>0.17391304347826086</v>
      </c>
      <c r="W113" s="26">
        <f t="shared" si="109"/>
        <v>-1.2875000000000001</v>
      </c>
      <c r="X113" s="26">
        <f t="shared" si="110"/>
        <v>-0.3675889328063241</v>
      </c>
    </row>
    <row r="114" spans="1:24" hidden="1" x14ac:dyDescent="0.25">
      <c r="A114" s="17" t="s">
        <v>151</v>
      </c>
      <c r="B114" s="18">
        <f>SUM(B101:B113)</f>
        <v>3952</v>
      </c>
      <c r="C114" s="18">
        <f t="shared" ref="C114:G114" si="112">SUM(C101:C113)</f>
        <v>4958</v>
      </c>
      <c r="D114" s="18">
        <f t="shared" si="112"/>
        <v>4471</v>
      </c>
      <c r="E114" s="18">
        <f t="shared" si="112"/>
        <v>3785</v>
      </c>
      <c r="F114" s="18">
        <f t="shared" si="112"/>
        <v>4637</v>
      </c>
      <c r="G114" s="18">
        <f t="shared" si="112"/>
        <v>3865</v>
      </c>
      <c r="H114" s="81">
        <f t="shared" si="111"/>
        <v>25668</v>
      </c>
      <c r="J114" s="25"/>
      <c r="K114" s="25"/>
      <c r="L114" s="25"/>
      <c r="M114" s="25"/>
      <c r="N114" s="25"/>
      <c r="O114" s="25"/>
      <c r="P114" s="25"/>
      <c r="R114" s="25">
        <f t="shared" si="60"/>
        <v>4.461944531612725E-3</v>
      </c>
      <c r="S114" s="25">
        <f t="shared" si="61"/>
        <v>2.0652661175588411E-2</v>
      </c>
      <c r="T114" s="25">
        <f t="shared" si="106"/>
        <v>-0.20290439693424769</v>
      </c>
      <c r="U114" s="25">
        <f t="shared" si="107"/>
        <v>0.1089241780362335</v>
      </c>
      <c r="V114" s="25">
        <f t="shared" si="108"/>
        <v>0.18124174372523116</v>
      </c>
      <c r="W114" s="25">
        <f t="shared" si="109"/>
        <v>-0.18373948673711452</v>
      </c>
      <c r="X114" s="25">
        <f t="shared" si="110"/>
        <v>0.1997412677878396</v>
      </c>
    </row>
    <row r="115" spans="1:24" hidden="1" x14ac:dyDescent="0.25">
      <c r="A115" s="2" t="s">
        <v>152</v>
      </c>
      <c r="H115" s="30">
        <f t="shared" si="111"/>
        <v>0</v>
      </c>
      <c r="J115" s="25"/>
      <c r="K115" s="25"/>
      <c r="L115" s="25"/>
      <c r="M115" s="25"/>
      <c r="N115" s="25"/>
      <c r="O115" s="25"/>
      <c r="P115" s="25"/>
      <c r="R115" s="25" t="e">
        <f t="shared" si="60"/>
        <v>#NUM!</v>
      </c>
      <c r="S115" s="25" t="e">
        <f t="shared" si="61"/>
        <v>#DIV/0!</v>
      </c>
      <c r="T115" s="25" t="e">
        <f t="shared" si="106"/>
        <v>#DIV/0!</v>
      </c>
      <c r="U115" s="25" t="e">
        <f t="shared" si="107"/>
        <v>#DIV/0!</v>
      </c>
      <c r="V115" s="25" t="e">
        <f t="shared" si="108"/>
        <v>#DIV/0!</v>
      </c>
      <c r="W115" s="25" t="e">
        <f t="shared" si="109"/>
        <v>#DIV/0!</v>
      </c>
      <c r="X115" s="25" t="e">
        <f t="shared" si="110"/>
        <v>#DIV/0!</v>
      </c>
    </row>
    <row r="116" spans="1:24" hidden="1" x14ac:dyDescent="0.25">
      <c r="A116" s="5" t="s">
        <v>18</v>
      </c>
      <c r="B116" s="2">
        <v>-228</v>
      </c>
      <c r="C116" s="2">
        <v>87</v>
      </c>
      <c r="D116" s="2">
        <v>-26</v>
      </c>
      <c r="E116" s="2">
        <v>140</v>
      </c>
      <c r="F116" s="2">
        <v>-2280</v>
      </c>
      <c r="G116" s="2">
        <v>-2629</v>
      </c>
      <c r="H116" s="30">
        <f t="shared" si="111"/>
        <v>-4936</v>
      </c>
      <c r="J116" s="25"/>
      <c r="K116" s="25"/>
      <c r="L116" s="25"/>
      <c r="M116" s="25"/>
      <c r="N116" s="25"/>
      <c r="O116" s="25"/>
      <c r="P116" s="25"/>
      <c r="R116" s="25">
        <f t="shared" si="60"/>
        <v>-0.38676229142799318</v>
      </c>
      <c r="S116" s="25">
        <f t="shared" si="61"/>
        <v>-2.069342278181133</v>
      </c>
      <c r="T116" s="25">
        <f t="shared" si="106"/>
        <v>-3.6206896551724137</v>
      </c>
      <c r="U116" s="25">
        <f t="shared" si="107"/>
        <v>-4.3461538461538458</v>
      </c>
      <c r="V116" s="25">
        <f t="shared" si="108"/>
        <v>-1.1857142857142857</v>
      </c>
      <c r="W116" s="25">
        <f t="shared" si="109"/>
        <v>-1.0614035087719298</v>
      </c>
      <c r="X116" s="25">
        <f t="shared" si="110"/>
        <v>-0.13275009509319133</v>
      </c>
    </row>
    <row r="117" spans="1:24" hidden="1" x14ac:dyDescent="0.25">
      <c r="A117" s="5" t="s">
        <v>19</v>
      </c>
      <c r="B117" s="2">
        <v>-1121</v>
      </c>
      <c r="C117" s="2">
        <v>-144</v>
      </c>
      <c r="D117" s="2">
        <v>-249</v>
      </c>
      <c r="E117" s="2">
        <v>-277</v>
      </c>
      <c r="F117" s="2">
        <v>-251</v>
      </c>
      <c r="G117" s="2">
        <v>-236</v>
      </c>
      <c r="H117" s="30">
        <f t="shared" si="111"/>
        <v>-2278</v>
      </c>
      <c r="J117" s="25"/>
      <c r="K117" s="25"/>
      <c r="L117" s="25"/>
      <c r="M117" s="25"/>
      <c r="N117" s="25"/>
      <c r="O117" s="25"/>
      <c r="P117" s="25"/>
      <c r="R117" s="25">
        <f t="shared" si="60"/>
        <v>0.36564783932642692</v>
      </c>
      <c r="S117" s="25">
        <f t="shared" si="61"/>
        <v>1.2858194844295423</v>
      </c>
      <c r="T117" s="25">
        <f t="shared" si="106"/>
        <v>6.7847222222222223</v>
      </c>
      <c r="U117" s="25">
        <f t="shared" si="107"/>
        <v>-0.42168674698795183</v>
      </c>
      <c r="V117" s="25">
        <f t="shared" si="108"/>
        <v>-0.10108303249097472</v>
      </c>
      <c r="W117" s="25">
        <f t="shared" si="109"/>
        <v>0.10358565737051793</v>
      </c>
      <c r="X117" s="25">
        <f t="shared" si="110"/>
        <v>6.3559322033898302E-2</v>
      </c>
    </row>
    <row r="118" spans="1:24" hidden="1" x14ac:dyDescent="0.25">
      <c r="A118" s="5" t="s">
        <v>28</v>
      </c>
      <c r="B118" s="2">
        <v>152</v>
      </c>
      <c r="C118" s="2">
        <v>408</v>
      </c>
      <c r="D118" s="2">
        <v>207</v>
      </c>
      <c r="E118" s="2">
        <v>-58</v>
      </c>
      <c r="F118" s="2">
        <v>-23</v>
      </c>
      <c r="G118" s="2">
        <v>441</v>
      </c>
      <c r="H118" s="30">
        <f t="shared" si="111"/>
        <v>1127</v>
      </c>
      <c r="J118" s="25"/>
      <c r="K118" s="25"/>
      <c r="L118" s="25"/>
      <c r="M118" s="25"/>
      <c r="N118" s="25"/>
      <c r="O118" s="25"/>
      <c r="P118" s="25"/>
      <c r="R118" s="25">
        <f t="shared" si="60"/>
        <v>-0.19187042718273711</v>
      </c>
      <c r="S118" s="25">
        <f t="shared" si="61"/>
        <v>-0.75116341389129349</v>
      </c>
      <c r="T118" s="25">
        <f t="shared" si="106"/>
        <v>-0.62745098039215685</v>
      </c>
      <c r="U118" s="25">
        <f t="shared" si="107"/>
        <v>0.97101449275362317</v>
      </c>
      <c r="V118" s="25">
        <f t="shared" si="108"/>
        <v>-4.568965517241379</v>
      </c>
      <c r="W118" s="25">
        <f t="shared" si="109"/>
        <v>1.5217391304347827</v>
      </c>
      <c r="X118" s="25">
        <f t="shared" si="110"/>
        <v>-1.0521541950113378</v>
      </c>
    </row>
    <row r="119" spans="1:24" hidden="1" x14ac:dyDescent="0.25">
      <c r="A119" s="5" t="s">
        <v>20</v>
      </c>
      <c r="B119" s="2">
        <v>-314</v>
      </c>
      <c r="C119" s="2">
        <v>-32</v>
      </c>
      <c r="D119" s="2">
        <v>40</v>
      </c>
      <c r="E119" s="2">
        <v>52</v>
      </c>
      <c r="F119" s="2">
        <v>-146</v>
      </c>
      <c r="G119" s="2">
        <v>-64</v>
      </c>
      <c r="H119" s="30">
        <f t="shared" si="111"/>
        <v>-464</v>
      </c>
      <c r="J119" s="25"/>
      <c r="K119" s="25"/>
      <c r="L119" s="25"/>
      <c r="M119" s="25"/>
      <c r="N119" s="25"/>
      <c r="O119" s="25"/>
      <c r="P119" s="25"/>
      <c r="R119" s="25">
        <f t="shared" si="60"/>
        <v>0.37451642796623941</v>
      </c>
      <c r="S119" s="25">
        <f t="shared" si="61"/>
        <v>1.3413632771338251</v>
      </c>
      <c r="T119" s="25">
        <f t="shared" si="106"/>
        <v>8.8125</v>
      </c>
      <c r="U119" s="25">
        <f t="shared" si="107"/>
        <v>-1.8</v>
      </c>
      <c r="V119" s="25">
        <f t="shared" si="108"/>
        <v>-0.23076923076923078</v>
      </c>
      <c r="W119" s="25">
        <f t="shared" si="109"/>
        <v>-1.3561643835616439</v>
      </c>
      <c r="X119" s="25">
        <f t="shared" si="110"/>
        <v>1.28125</v>
      </c>
    </row>
    <row r="120" spans="1:24" hidden="1" x14ac:dyDescent="0.25">
      <c r="A120" s="5" t="s">
        <v>29</v>
      </c>
      <c r="B120" s="2">
        <v>28</v>
      </c>
      <c r="C120" s="2">
        <v>87</v>
      </c>
      <c r="D120" s="2">
        <v>486</v>
      </c>
      <c r="E120" s="2">
        <v>-90</v>
      </c>
      <c r="F120" s="2">
        <v>637</v>
      </c>
      <c r="G120" s="2">
        <v>-876</v>
      </c>
      <c r="H120" s="30">
        <f t="shared" si="111"/>
        <v>272</v>
      </c>
      <c r="J120" s="25"/>
      <c r="K120" s="25"/>
      <c r="L120" s="25"/>
      <c r="M120" s="25"/>
      <c r="N120" s="25"/>
      <c r="O120" s="25"/>
      <c r="P120" s="25"/>
      <c r="R120" s="25" t="e">
        <f t="shared" si="60"/>
        <v>#NUM!</v>
      </c>
      <c r="S120" s="25">
        <f t="shared" si="61"/>
        <v>-2.1535209615554671</v>
      </c>
      <c r="T120" s="25">
        <f t="shared" si="106"/>
        <v>-0.67816091954022983</v>
      </c>
      <c r="U120" s="25">
        <f t="shared" si="107"/>
        <v>-0.82098765432098764</v>
      </c>
      <c r="V120" s="25">
        <f t="shared" si="108"/>
        <v>-6.4</v>
      </c>
      <c r="W120" s="25">
        <f t="shared" si="109"/>
        <v>-1.141287284144427</v>
      </c>
      <c r="X120" s="25">
        <f t="shared" si="110"/>
        <v>-1.7271689497716896</v>
      </c>
    </row>
    <row r="121" spans="1:24" hidden="1" x14ac:dyDescent="0.25">
      <c r="A121" s="2" t="s">
        <v>153</v>
      </c>
      <c r="B121" s="10">
        <f>SUM(B114:B120)</f>
        <v>2469</v>
      </c>
      <c r="C121" s="10">
        <f t="shared" ref="C121:G121" si="113">SUM(C114:C120)</f>
        <v>5364</v>
      </c>
      <c r="D121" s="10">
        <f t="shared" si="113"/>
        <v>4929</v>
      </c>
      <c r="E121" s="10">
        <f t="shared" si="113"/>
        <v>3552</v>
      </c>
      <c r="F121" s="10">
        <f t="shared" si="113"/>
        <v>2574</v>
      </c>
      <c r="G121" s="10">
        <f t="shared" si="113"/>
        <v>501</v>
      </c>
      <c r="H121" s="30">
        <f t="shared" si="111"/>
        <v>19389</v>
      </c>
      <c r="J121" s="29">
        <f t="shared" ref="J121:O121" si="114">+B121/B$121</f>
        <v>1</v>
      </c>
      <c r="K121" s="29">
        <f t="shared" si="114"/>
        <v>1</v>
      </c>
      <c r="L121" s="29">
        <f t="shared" si="114"/>
        <v>1</v>
      </c>
      <c r="M121" s="29">
        <f t="shared" si="114"/>
        <v>1</v>
      </c>
      <c r="N121" s="29">
        <f t="shared" si="114"/>
        <v>1</v>
      </c>
      <c r="O121" s="29">
        <f t="shared" si="114"/>
        <v>1</v>
      </c>
      <c r="P121" s="29"/>
      <c r="Q121" s="10"/>
      <c r="R121" s="29">
        <f t="shared" si="60"/>
        <v>0.37574097606482232</v>
      </c>
      <c r="S121" s="29">
        <f t="shared" si="61"/>
        <v>0.89077817457706199</v>
      </c>
      <c r="T121" s="29">
        <f t="shared" si="106"/>
        <v>-0.53970917225950787</v>
      </c>
      <c r="U121" s="29">
        <f t="shared" si="107"/>
        <v>8.825319537431528E-2</v>
      </c>
      <c r="V121" s="29">
        <f t="shared" si="108"/>
        <v>0.38766891891891891</v>
      </c>
      <c r="W121" s="29">
        <f t="shared" si="109"/>
        <v>0.37995337995337997</v>
      </c>
      <c r="X121" s="29">
        <f t="shared" si="110"/>
        <v>4.1377245508982039</v>
      </c>
    </row>
    <row r="122" spans="1:24" x14ac:dyDescent="0.25">
      <c r="A122" s="2" t="s">
        <v>296</v>
      </c>
      <c r="B122" s="30"/>
      <c r="C122" s="30"/>
      <c r="D122" s="30"/>
      <c r="E122" s="30"/>
      <c r="F122" s="30"/>
      <c r="G122" s="30"/>
      <c r="H122" s="30"/>
      <c r="J122" s="33"/>
      <c r="K122" s="33"/>
      <c r="L122" s="33"/>
      <c r="M122" s="33"/>
      <c r="N122" s="33"/>
      <c r="O122" s="33"/>
      <c r="P122" s="33"/>
      <c r="Q122" s="30"/>
      <c r="R122" s="33"/>
      <c r="S122" s="33"/>
      <c r="T122" s="33"/>
      <c r="U122" s="33"/>
      <c r="V122" s="33"/>
      <c r="W122" s="33"/>
      <c r="X122" s="33"/>
    </row>
    <row r="123" spans="1:24" x14ac:dyDescent="0.25">
      <c r="A123" s="5" t="s">
        <v>297</v>
      </c>
      <c r="B123" s="32">
        <f>+B60+B116</f>
        <v>26257</v>
      </c>
      <c r="C123" s="32">
        <f t="shared" ref="C123:G123" si="115">+C60+C116</f>
        <v>26129</v>
      </c>
      <c r="D123" s="32">
        <f t="shared" si="115"/>
        <v>26159</v>
      </c>
      <c r="E123" s="32">
        <f t="shared" si="115"/>
        <v>25117</v>
      </c>
      <c r="F123" s="32">
        <f t="shared" si="115"/>
        <v>23988</v>
      </c>
      <c r="G123" s="32">
        <f t="shared" si="115"/>
        <v>23447</v>
      </c>
      <c r="H123" s="32">
        <f>SUM(B123:G123)</f>
        <v>151097</v>
      </c>
      <c r="J123" s="33"/>
      <c r="K123" s="33"/>
      <c r="L123" s="33"/>
      <c r="M123" s="33"/>
      <c r="N123" s="33"/>
      <c r="O123" s="33"/>
      <c r="P123" s="33"/>
      <c r="Q123" s="30"/>
      <c r="R123" s="33"/>
      <c r="S123" s="33"/>
      <c r="T123" s="33"/>
      <c r="U123" s="33"/>
      <c r="V123" s="33"/>
      <c r="W123" s="33"/>
      <c r="X123" s="33"/>
    </row>
    <row r="124" spans="1:24" x14ac:dyDescent="0.25">
      <c r="A124" s="5" t="s">
        <v>298</v>
      </c>
      <c r="B124" s="30">
        <f>-B61+B117+B118</f>
        <v>-19332</v>
      </c>
      <c r="C124" s="30">
        <f t="shared" ref="C124:G124" si="116">-C61+C117+C118</f>
        <v>-17096</v>
      </c>
      <c r="D124" s="30">
        <f t="shared" si="116"/>
        <v>-17050</v>
      </c>
      <c r="E124" s="30">
        <f t="shared" si="116"/>
        <v>-17165</v>
      </c>
      <c r="F124" s="30">
        <f t="shared" si="116"/>
        <v>-17621</v>
      </c>
      <c r="G124" s="30">
        <f t="shared" si="116"/>
        <v>-16838</v>
      </c>
      <c r="H124" s="30">
        <f t="shared" ref="H124:H154" si="117">SUM(B124:G124)</f>
        <v>-105102</v>
      </c>
      <c r="J124" s="33"/>
      <c r="K124" s="33"/>
      <c r="L124" s="33"/>
      <c r="M124" s="33"/>
      <c r="N124" s="33"/>
      <c r="O124" s="33"/>
      <c r="P124" s="33"/>
      <c r="Q124" s="30"/>
      <c r="R124" s="33"/>
      <c r="S124" s="33"/>
      <c r="T124" s="33"/>
      <c r="U124" s="33"/>
      <c r="V124" s="33"/>
      <c r="W124" s="33"/>
      <c r="X124" s="33"/>
    </row>
    <row r="125" spans="1:24" x14ac:dyDescent="0.25">
      <c r="A125" s="5" t="s">
        <v>299</v>
      </c>
      <c r="B125" s="57">
        <f>+B123+B124</f>
        <v>6925</v>
      </c>
      <c r="C125" s="57">
        <f t="shared" ref="C125:G125" si="118">+C123+C124</f>
        <v>9033</v>
      </c>
      <c r="D125" s="57">
        <f t="shared" si="118"/>
        <v>9109</v>
      </c>
      <c r="E125" s="57">
        <f t="shared" si="118"/>
        <v>7952</v>
      </c>
      <c r="F125" s="57">
        <f t="shared" si="118"/>
        <v>6367</v>
      </c>
      <c r="G125" s="57">
        <f t="shared" si="118"/>
        <v>6609</v>
      </c>
      <c r="H125" s="6">
        <f t="shared" si="117"/>
        <v>45995</v>
      </c>
      <c r="J125" s="33"/>
      <c r="K125" s="33"/>
      <c r="L125" s="33"/>
      <c r="M125" s="33"/>
      <c r="N125" s="33"/>
      <c r="O125" s="33"/>
      <c r="P125" s="33"/>
      <c r="Q125" s="30"/>
      <c r="R125" s="33"/>
      <c r="S125" s="33"/>
      <c r="T125" s="33"/>
      <c r="U125" s="33"/>
      <c r="V125" s="33"/>
      <c r="W125" s="33"/>
      <c r="X125" s="33"/>
    </row>
    <row r="126" spans="1:24" x14ac:dyDescent="0.25">
      <c r="A126" s="5" t="s">
        <v>300</v>
      </c>
      <c r="B126" s="80">
        <f t="shared" ref="B126:G127" si="119">-B159</f>
        <v>-937</v>
      </c>
      <c r="C126" s="80">
        <f t="shared" si="119"/>
        <v>-1196</v>
      </c>
      <c r="D126" s="80">
        <f t="shared" si="119"/>
        <v>-1286</v>
      </c>
      <c r="E126" s="80">
        <f t="shared" si="119"/>
        <v>-1306</v>
      </c>
      <c r="F126" s="80">
        <f t="shared" si="119"/>
        <v>-1322</v>
      </c>
      <c r="G126" s="80">
        <f t="shared" si="119"/>
        <v>-1269</v>
      </c>
      <c r="H126" s="30">
        <f t="shared" si="117"/>
        <v>-7316</v>
      </c>
      <c r="J126" s="33"/>
      <c r="K126" s="33"/>
      <c r="L126" s="33"/>
      <c r="M126" s="33"/>
      <c r="N126" s="33"/>
      <c r="O126" s="33"/>
      <c r="P126" s="33"/>
      <c r="Q126" s="30"/>
      <c r="R126" s="33"/>
      <c r="S126" s="33"/>
      <c r="T126" s="33"/>
      <c r="U126" s="33"/>
      <c r="V126" s="33"/>
      <c r="W126" s="33"/>
      <c r="X126" s="33"/>
    </row>
    <row r="127" spans="1:24" x14ac:dyDescent="0.25">
      <c r="A127" s="5" t="s">
        <v>301</v>
      </c>
      <c r="B127" s="80">
        <f t="shared" si="119"/>
        <v>-1260</v>
      </c>
      <c r="C127" s="80">
        <f t="shared" si="119"/>
        <v>-1295</v>
      </c>
      <c r="D127" s="80">
        <f t="shared" si="119"/>
        <v>-1027</v>
      </c>
      <c r="E127" s="80">
        <f t="shared" si="119"/>
        <v>-974</v>
      </c>
      <c r="F127" s="80">
        <f t="shared" si="119"/>
        <v>-543</v>
      </c>
      <c r="G127" s="80">
        <f t="shared" si="119"/>
        <v>-1206</v>
      </c>
      <c r="H127" s="30">
        <f t="shared" si="117"/>
        <v>-6305</v>
      </c>
      <c r="J127" s="33"/>
      <c r="K127" s="33"/>
      <c r="L127" s="33"/>
      <c r="M127" s="33"/>
      <c r="N127" s="33"/>
      <c r="O127" s="33"/>
      <c r="P127" s="33"/>
      <c r="Q127" s="30"/>
      <c r="R127" s="33"/>
      <c r="S127" s="33"/>
      <c r="T127" s="33"/>
      <c r="U127" s="33"/>
      <c r="V127" s="33"/>
      <c r="W127" s="33"/>
      <c r="X127" s="33"/>
    </row>
    <row r="128" spans="1:24" x14ac:dyDescent="0.25">
      <c r="A128" s="5" t="s">
        <v>302</v>
      </c>
      <c r="B128" s="80">
        <f>+B111</f>
        <v>0</v>
      </c>
      <c r="C128" s="80">
        <f t="shared" ref="C128:G128" si="120">+C111</f>
        <v>1587</v>
      </c>
      <c r="D128" s="80">
        <f t="shared" si="120"/>
        <v>0</v>
      </c>
      <c r="E128" s="80">
        <f t="shared" si="120"/>
        <v>0</v>
      </c>
      <c r="F128" s="80">
        <f t="shared" si="120"/>
        <v>0</v>
      </c>
      <c r="G128" s="80">
        <f t="shared" si="120"/>
        <v>0</v>
      </c>
      <c r="H128" s="30">
        <f t="shared" si="117"/>
        <v>1587</v>
      </c>
      <c r="J128" s="33"/>
      <c r="K128" s="33"/>
      <c r="L128" s="33"/>
      <c r="M128" s="33"/>
      <c r="N128" s="33"/>
      <c r="O128" s="33"/>
      <c r="P128" s="33"/>
      <c r="Q128" s="30"/>
      <c r="R128" s="33"/>
      <c r="S128" s="33"/>
      <c r="T128" s="33"/>
      <c r="U128" s="33"/>
      <c r="V128" s="33"/>
      <c r="W128" s="33"/>
      <c r="X128" s="33"/>
    </row>
    <row r="129" spans="1:24" x14ac:dyDescent="0.25">
      <c r="A129" s="5" t="s">
        <v>143</v>
      </c>
      <c r="B129" s="80">
        <f>+B107</f>
        <v>-23</v>
      </c>
      <c r="C129" s="80">
        <f t="shared" ref="C129:G129" si="121">+C107</f>
        <v>-27</v>
      </c>
      <c r="D129" s="80">
        <f t="shared" si="121"/>
        <v>-27</v>
      </c>
      <c r="E129" s="80">
        <f t="shared" si="121"/>
        <v>-32</v>
      </c>
      <c r="F129" s="80">
        <f t="shared" si="121"/>
        <v>-76</v>
      </c>
      <c r="G129" s="80">
        <f t="shared" si="121"/>
        <v>-1659</v>
      </c>
      <c r="H129" s="30">
        <f t="shared" si="117"/>
        <v>-1844</v>
      </c>
      <c r="J129" s="33"/>
      <c r="K129" s="33"/>
      <c r="L129" s="33"/>
      <c r="M129" s="33"/>
      <c r="N129" s="33"/>
      <c r="O129" s="33"/>
      <c r="P129" s="33"/>
      <c r="Q129" s="30"/>
      <c r="R129" s="33"/>
      <c r="S129" s="33"/>
      <c r="T129" s="33"/>
      <c r="U129" s="33"/>
      <c r="V129" s="33"/>
      <c r="W129" s="33"/>
      <c r="X129" s="33"/>
    </row>
    <row r="130" spans="1:24" x14ac:dyDescent="0.25">
      <c r="A130" s="5" t="s">
        <v>303</v>
      </c>
      <c r="B130" s="80">
        <f>-B161</f>
        <v>-173</v>
      </c>
      <c r="C130" s="80">
        <f t="shared" ref="C130:G130" si="122">-C161</f>
        <v>-176</v>
      </c>
      <c r="D130" s="80">
        <f t="shared" si="122"/>
        <v>-173</v>
      </c>
      <c r="E130" s="80">
        <f t="shared" si="122"/>
        <v>-191</v>
      </c>
      <c r="F130" s="80">
        <f t="shared" si="122"/>
        <v>-200</v>
      </c>
      <c r="G130" s="80">
        <f t="shared" si="122"/>
        <v>-244</v>
      </c>
      <c r="H130" s="30">
        <f t="shared" si="117"/>
        <v>-1157</v>
      </c>
      <c r="J130" s="33"/>
      <c r="K130" s="33"/>
      <c r="L130" s="33"/>
      <c r="M130" s="33"/>
      <c r="N130" s="33"/>
      <c r="O130" s="33"/>
      <c r="P130" s="33"/>
      <c r="Q130" s="30"/>
      <c r="R130" s="33"/>
      <c r="S130" s="33"/>
      <c r="T130" s="33"/>
      <c r="U130" s="33"/>
      <c r="V130" s="33"/>
      <c r="W130" s="33"/>
      <c r="X130" s="33"/>
    </row>
    <row r="131" spans="1:24" x14ac:dyDescent="0.25">
      <c r="A131" s="5" t="s">
        <v>304</v>
      </c>
      <c r="B131" s="80">
        <f t="shared" ref="B131:G131" si="123">+B132-SUM(B125:B130)</f>
        <v>-2063</v>
      </c>
      <c r="C131" s="80">
        <f t="shared" si="123"/>
        <v>-2562</v>
      </c>
      <c r="D131" s="80">
        <f t="shared" si="123"/>
        <v>-1667</v>
      </c>
      <c r="E131" s="80">
        <f t="shared" si="123"/>
        <v>-1897</v>
      </c>
      <c r="F131" s="80">
        <f t="shared" si="123"/>
        <v>-1652</v>
      </c>
      <c r="G131" s="80">
        <f t="shared" si="123"/>
        <v>-1730</v>
      </c>
      <c r="H131" s="30">
        <f t="shared" si="117"/>
        <v>-11571</v>
      </c>
      <c r="J131" s="33"/>
      <c r="K131" s="33"/>
      <c r="L131" s="33"/>
      <c r="M131" s="33"/>
      <c r="N131" s="33"/>
      <c r="O131" s="33"/>
      <c r="P131" s="33"/>
      <c r="Q131" s="30"/>
      <c r="R131" s="33"/>
      <c r="S131" s="33"/>
      <c r="T131" s="33"/>
      <c r="U131" s="33"/>
      <c r="V131" s="33"/>
      <c r="W131" s="33"/>
      <c r="X131" s="33"/>
    </row>
    <row r="132" spans="1:24" x14ac:dyDescent="0.25">
      <c r="A132" s="2" t="s">
        <v>153</v>
      </c>
      <c r="B132" s="10">
        <f>+B121</f>
        <v>2469</v>
      </c>
      <c r="C132" s="10">
        <f t="shared" ref="C132:G132" si="124">+C121</f>
        <v>5364</v>
      </c>
      <c r="D132" s="10">
        <f t="shared" si="124"/>
        <v>4929</v>
      </c>
      <c r="E132" s="10">
        <f t="shared" si="124"/>
        <v>3552</v>
      </c>
      <c r="F132" s="10">
        <f t="shared" si="124"/>
        <v>2574</v>
      </c>
      <c r="G132" s="10">
        <f t="shared" si="124"/>
        <v>501</v>
      </c>
      <c r="H132" s="10">
        <f t="shared" si="117"/>
        <v>19389</v>
      </c>
      <c r="J132" s="33"/>
      <c r="K132" s="33"/>
      <c r="L132" s="33"/>
      <c r="M132" s="33"/>
      <c r="N132" s="33"/>
      <c r="O132" s="33"/>
      <c r="P132" s="33"/>
      <c r="Q132" s="30"/>
      <c r="R132" s="33"/>
      <c r="S132" s="33"/>
      <c r="T132" s="33"/>
      <c r="U132" s="33"/>
      <c r="V132" s="33"/>
      <c r="W132" s="33"/>
      <c r="X132" s="33"/>
    </row>
    <row r="133" spans="1:24" x14ac:dyDescent="0.25">
      <c r="A133" s="2" t="s">
        <v>154</v>
      </c>
      <c r="J133" s="25"/>
      <c r="K133" s="25"/>
      <c r="L133" s="25"/>
      <c r="M133" s="25"/>
      <c r="N133" s="25"/>
      <c r="O133" s="25"/>
      <c r="P133" s="25"/>
      <c r="R133" s="25"/>
      <c r="S133" s="25"/>
      <c r="T133" s="25"/>
      <c r="U133" s="25"/>
      <c r="V133" s="25"/>
      <c r="W133" s="25"/>
      <c r="X133" s="25"/>
    </row>
    <row r="134" spans="1:24" x14ac:dyDescent="0.25">
      <c r="A134" s="5" t="s">
        <v>155</v>
      </c>
      <c r="B134" s="2">
        <v>-916</v>
      </c>
      <c r="C134" s="2">
        <v>-905</v>
      </c>
      <c r="D134" s="2">
        <v>-596</v>
      </c>
      <c r="E134" s="2">
        <v>-768</v>
      </c>
      <c r="F134" s="2">
        <v>-826</v>
      </c>
      <c r="G134" s="2">
        <v>-1194</v>
      </c>
      <c r="H134" s="2">
        <f t="shared" si="117"/>
        <v>-5205</v>
      </c>
      <c r="J134" s="25">
        <f t="shared" ref="J134:O140" si="125">+B134/B$121</f>
        <v>-0.37100040502227621</v>
      </c>
      <c r="K134" s="25">
        <f t="shared" si="125"/>
        <v>-0.16871737509321402</v>
      </c>
      <c r="L134" s="25">
        <f t="shared" si="125"/>
        <v>-0.12091702170825726</v>
      </c>
      <c r="M134" s="25">
        <f t="shared" si="125"/>
        <v>-0.21621621621621623</v>
      </c>
      <c r="N134" s="25">
        <f t="shared" si="125"/>
        <v>-0.3209013209013209</v>
      </c>
      <c r="O134" s="25">
        <f t="shared" si="125"/>
        <v>-2.3832335329341316</v>
      </c>
      <c r="P134" s="25"/>
      <c r="R134" s="25">
        <f t="shared" si="60"/>
        <v>-5.1629078507473856E-2</v>
      </c>
      <c r="S134" s="25">
        <f t="shared" si="61"/>
        <v>-1.4354576845997035E-2</v>
      </c>
      <c r="T134" s="25">
        <f t="shared" ref="T134:X140" si="126">(+B134-C134)/C134</f>
        <v>1.2154696132596685E-2</v>
      </c>
      <c r="U134" s="25">
        <f t="shared" si="126"/>
        <v>0.51845637583892612</v>
      </c>
      <c r="V134" s="25">
        <f t="shared" si="126"/>
        <v>-0.22395833333333334</v>
      </c>
      <c r="W134" s="25">
        <f t="shared" si="126"/>
        <v>-7.0217917675544791E-2</v>
      </c>
      <c r="X134" s="25">
        <f t="shared" si="126"/>
        <v>-0.3082077051926298</v>
      </c>
    </row>
    <row r="135" spans="1:24" x14ac:dyDescent="0.25">
      <c r="A135" s="5" t="s">
        <v>156</v>
      </c>
      <c r="B135" s="2">
        <v>0</v>
      </c>
      <c r="C135" s="2">
        <v>0</v>
      </c>
      <c r="D135" s="2">
        <v>0</v>
      </c>
      <c r="E135" s="2">
        <v>0</v>
      </c>
      <c r="F135" s="2">
        <v>1296</v>
      </c>
      <c r="G135" s="2">
        <v>2286</v>
      </c>
      <c r="H135" s="2">
        <f t="shared" si="117"/>
        <v>3582</v>
      </c>
      <c r="J135" s="25">
        <f t="shared" si="125"/>
        <v>0</v>
      </c>
      <c r="K135" s="25">
        <f t="shared" si="125"/>
        <v>0</v>
      </c>
      <c r="L135" s="25">
        <f t="shared" si="125"/>
        <v>0</v>
      </c>
      <c r="M135" s="25">
        <f t="shared" si="125"/>
        <v>0</v>
      </c>
      <c r="N135" s="25">
        <f t="shared" si="125"/>
        <v>0.50349650349650354</v>
      </c>
      <c r="O135" s="25">
        <f t="shared" si="125"/>
        <v>4.5628742514970062</v>
      </c>
      <c r="P135" s="25"/>
      <c r="R135" s="25">
        <f t="shared" si="60"/>
        <v>-0.99999940914518248</v>
      </c>
      <c r="S135" s="25">
        <f t="shared" si="61"/>
        <v>-0.7165354330708662</v>
      </c>
      <c r="T135" s="25"/>
      <c r="U135" s="25"/>
      <c r="V135" s="25"/>
      <c r="W135" s="25">
        <f t="shared" si="126"/>
        <v>-1</v>
      </c>
      <c r="X135" s="25">
        <f t="shared" si="126"/>
        <v>-0.43307086614173229</v>
      </c>
    </row>
    <row r="136" spans="1:24" x14ac:dyDescent="0.25">
      <c r="A136" s="5" t="s">
        <v>305</v>
      </c>
      <c r="B136" s="2">
        <v>-481</v>
      </c>
      <c r="C136" s="2">
        <v>-74</v>
      </c>
      <c r="D136" s="2">
        <v>0</v>
      </c>
      <c r="E136" s="2">
        <v>-199</v>
      </c>
      <c r="F136" s="2">
        <v>-248</v>
      </c>
      <c r="G136" s="2">
        <v>0</v>
      </c>
      <c r="H136" s="2">
        <f t="shared" si="117"/>
        <v>-1002</v>
      </c>
      <c r="J136" s="25">
        <f t="shared" si="125"/>
        <v>-0.19481571486431754</v>
      </c>
      <c r="K136" s="25">
        <f t="shared" si="125"/>
        <v>-1.3795674869500374E-2</v>
      </c>
      <c r="L136" s="25">
        <f t="shared" si="125"/>
        <v>0</v>
      </c>
      <c r="M136" s="25">
        <f t="shared" si="125"/>
        <v>-5.6024774774774772E-2</v>
      </c>
      <c r="N136" s="25">
        <f t="shared" si="125"/>
        <v>-9.6348096348096351E-2</v>
      </c>
      <c r="O136" s="25">
        <f t="shared" si="125"/>
        <v>0</v>
      </c>
      <c r="P136" s="25"/>
      <c r="R136" s="25"/>
      <c r="S136" s="25">
        <f t="shared" si="61"/>
        <v>1.4341397849462367</v>
      </c>
      <c r="T136" s="25">
        <f t="shared" si="126"/>
        <v>5.5</v>
      </c>
      <c r="U136" s="25"/>
      <c r="V136" s="25">
        <f t="shared" si="126"/>
        <v>-1</v>
      </c>
      <c r="W136" s="25">
        <f t="shared" si="126"/>
        <v>-0.19758064516129031</v>
      </c>
      <c r="X136" s="25"/>
    </row>
    <row r="137" spans="1:24" x14ac:dyDescent="0.25">
      <c r="A137" s="5" t="s">
        <v>158</v>
      </c>
      <c r="B137" s="2">
        <v>208</v>
      </c>
      <c r="C137" s="2">
        <v>-28</v>
      </c>
      <c r="D137" s="2">
        <v>25</v>
      </c>
      <c r="E137" s="2">
        <v>590</v>
      </c>
      <c r="F137" s="2">
        <v>24</v>
      </c>
      <c r="G137" s="2">
        <v>0</v>
      </c>
      <c r="H137" s="2">
        <f t="shared" si="117"/>
        <v>819</v>
      </c>
      <c r="J137" s="25">
        <f t="shared" si="125"/>
        <v>8.4244633454840012E-2</v>
      </c>
      <c r="K137" s="25">
        <f t="shared" si="125"/>
        <v>-5.219985085756898E-3</v>
      </c>
      <c r="L137" s="25">
        <f t="shared" si="125"/>
        <v>5.0720227226617974E-3</v>
      </c>
      <c r="M137" s="25">
        <f t="shared" si="125"/>
        <v>0.1661036036036036</v>
      </c>
      <c r="N137" s="25">
        <f t="shared" si="125"/>
        <v>9.324009324009324E-3</v>
      </c>
      <c r="O137" s="25">
        <f t="shared" si="125"/>
        <v>0</v>
      </c>
      <c r="P137" s="25"/>
      <c r="R137" s="25"/>
      <c r="S137" s="25">
        <f t="shared" si="61"/>
        <v>3.0192836965294592</v>
      </c>
      <c r="T137" s="25">
        <f t="shared" si="126"/>
        <v>-8.4285714285714288</v>
      </c>
      <c r="U137" s="25">
        <f t="shared" si="126"/>
        <v>-2.12</v>
      </c>
      <c r="V137" s="25">
        <f t="shared" si="126"/>
        <v>-0.9576271186440678</v>
      </c>
      <c r="W137" s="25">
        <f t="shared" si="126"/>
        <v>23.583333333333332</v>
      </c>
      <c r="X137" s="25"/>
    </row>
    <row r="138" spans="1:24" x14ac:dyDescent="0.25">
      <c r="A138" s="5" t="s">
        <v>159</v>
      </c>
      <c r="B138" s="2">
        <v>88</v>
      </c>
      <c r="C138" s="2">
        <v>5014</v>
      </c>
      <c r="D138" s="2">
        <v>0</v>
      </c>
      <c r="E138" s="2">
        <v>1875</v>
      </c>
      <c r="F138" s="2">
        <v>18</v>
      </c>
      <c r="G138" s="2">
        <v>0</v>
      </c>
      <c r="H138" s="2">
        <f t="shared" si="117"/>
        <v>6995</v>
      </c>
      <c r="J138" s="25">
        <f t="shared" si="125"/>
        <v>3.5641960307816932E-2</v>
      </c>
      <c r="K138" s="25">
        <f t="shared" si="125"/>
        <v>0.93475018642803875</v>
      </c>
      <c r="L138" s="25">
        <f t="shared" si="125"/>
        <v>0</v>
      </c>
      <c r="M138" s="25">
        <f t="shared" si="125"/>
        <v>0.5278716216216216</v>
      </c>
      <c r="N138" s="25">
        <f t="shared" si="125"/>
        <v>6.993006993006993E-3</v>
      </c>
      <c r="O138" s="25">
        <f t="shared" si="125"/>
        <v>0</v>
      </c>
      <c r="P138" s="25"/>
      <c r="Q138" s="30"/>
      <c r="R138" s="25"/>
      <c r="S138" s="25">
        <f t="shared" si="61"/>
        <v>33.728072508088466</v>
      </c>
      <c r="T138" s="25">
        <f t="shared" si="126"/>
        <v>-0.98244914240127645</v>
      </c>
      <c r="U138" s="25"/>
      <c r="V138" s="25">
        <f t="shared" si="126"/>
        <v>-1</v>
      </c>
      <c r="W138" s="25">
        <f t="shared" si="126"/>
        <v>103.16666666666667</v>
      </c>
      <c r="X138" s="25"/>
    </row>
    <row r="139" spans="1:24" x14ac:dyDescent="0.25">
      <c r="A139" s="5" t="s">
        <v>160</v>
      </c>
      <c r="B139" s="2">
        <v>10</v>
      </c>
      <c r="C139" s="2">
        <v>31</v>
      </c>
      <c r="D139" s="2">
        <v>49</v>
      </c>
      <c r="E139" s="2">
        <v>13</v>
      </c>
      <c r="F139" s="2">
        <v>24</v>
      </c>
      <c r="G139" s="2">
        <v>85</v>
      </c>
      <c r="H139" s="2">
        <f t="shared" si="117"/>
        <v>212</v>
      </c>
      <c r="J139" s="25">
        <f t="shared" si="125"/>
        <v>4.0502227622519239E-3</v>
      </c>
      <c r="K139" s="25">
        <f t="shared" si="125"/>
        <v>5.779269202087994E-3</v>
      </c>
      <c r="L139" s="25">
        <f t="shared" si="125"/>
        <v>9.9411645364171231E-3</v>
      </c>
      <c r="M139" s="25">
        <f t="shared" si="125"/>
        <v>3.6599099099099098E-3</v>
      </c>
      <c r="N139" s="25">
        <f t="shared" si="125"/>
        <v>9.324009324009324E-3</v>
      </c>
      <c r="O139" s="25">
        <f t="shared" si="125"/>
        <v>0.16966067864271456</v>
      </c>
      <c r="P139" s="33"/>
      <c r="Q139" s="30"/>
      <c r="R139" s="25">
        <f t="shared" si="60"/>
        <v>-0.34819721036856505</v>
      </c>
      <c r="S139" s="25">
        <f t="shared" si="61"/>
        <v>0.10969681669193732</v>
      </c>
      <c r="T139" s="25">
        <f t="shared" si="126"/>
        <v>-0.67741935483870963</v>
      </c>
      <c r="U139" s="25">
        <f t="shared" si="126"/>
        <v>-0.36734693877551022</v>
      </c>
      <c r="V139" s="25">
        <f t="shared" si="126"/>
        <v>2.7692307692307692</v>
      </c>
      <c r="W139" s="25">
        <f t="shared" si="126"/>
        <v>-0.45833333333333331</v>
      </c>
      <c r="X139" s="25">
        <f t="shared" si="126"/>
        <v>-0.71764705882352942</v>
      </c>
    </row>
    <row r="140" spans="1:24" x14ac:dyDescent="0.25">
      <c r="A140" s="2" t="s">
        <v>161</v>
      </c>
      <c r="B140" s="10">
        <f>SUM(B134:B139)</f>
        <v>-1091</v>
      </c>
      <c r="C140" s="10">
        <f t="shared" ref="C140:G140" si="127">SUM(C134:C139)</f>
        <v>4038</v>
      </c>
      <c r="D140" s="10">
        <f t="shared" si="127"/>
        <v>-522</v>
      </c>
      <c r="E140" s="10">
        <f t="shared" si="127"/>
        <v>1511</v>
      </c>
      <c r="F140" s="10">
        <f t="shared" si="127"/>
        <v>288</v>
      </c>
      <c r="G140" s="10">
        <f t="shared" si="127"/>
        <v>1177</v>
      </c>
      <c r="H140" s="10">
        <f t="shared" si="117"/>
        <v>5401</v>
      </c>
      <c r="J140" s="29">
        <f t="shared" si="125"/>
        <v>-0.44187930336168491</v>
      </c>
      <c r="K140" s="29">
        <f t="shared" si="125"/>
        <v>0.75279642058165552</v>
      </c>
      <c r="L140" s="29">
        <f t="shared" si="125"/>
        <v>-0.10590383444917834</v>
      </c>
      <c r="M140" s="29">
        <f t="shared" si="125"/>
        <v>0.42539414414414417</v>
      </c>
      <c r="N140" s="29">
        <f t="shared" si="125"/>
        <v>0.11188811188811189</v>
      </c>
      <c r="O140" s="29">
        <f t="shared" si="125"/>
        <v>2.3493013972055889</v>
      </c>
      <c r="P140" s="33"/>
      <c r="Q140" s="30"/>
      <c r="R140" s="29">
        <f>((B140/G140)^1/5)-1</f>
        <v>-1.1853865760407816</v>
      </c>
      <c r="S140" s="29">
        <f t="shared" si="61"/>
        <v>-1.5720128708089158</v>
      </c>
      <c r="T140" s="29">
        <f t="shared" si="126"/>
        <v>-1.2701832590391282</v>
      </c>
      <c r="U140" s="29">
        <f t="shared" si="126"/>
        <v>-8.7356321839080469</v>
      </c>
      <c r="V140" s="29">
        <f t="shared" si="126"/>
        <v>-1.3454665784248843</v>
      </c>
      <c r="W140" s="29">
        <f t="shared" si="126"/>
        <v>4.2465277777777777</v>
      </c>
      <c r="X140" s="29">
        <f t="shared" si="126"/>
        <v>-0.75531011045029739</v>
      </c>
    </row>
    <row r="141" spans="1:24" x14ac:dyDescent="0.25">
      <c r="A141" s="2" t="s">
        <v>162</v>
      </c>
      <c r="J141" s="25"/>
      <c r="K141" s="25"/>
      <c r="L141" s="25"/>
      <c r="M141" s="25"/>
      <c r="N141" s="25"/>
      <c r="O141" s="25"/>
      <c r="P141" s="33"/>
      <c r="Q141" s="30"/>
      <c r="R141" s="25"/>
      <c r="S141" s="25"/>
      <c r="T141" s="25"/>
      <c r="U141" s="25"/>
      <c r="V141" s="25"/>
      <c r="W141" s="25"/>
      <c r="X141" s="25"/>
    </row>
    <row r="142" spans="1:24" x14ac:dyDescent="0.25">
      <c r="A142" s="31" t="s">
        <v>163</v>
      </c>
      <c r="B142" s="2">
        <v>-1465</v>
      </c>
      <c r="C142" s="2">
        <v>-6202</v>
      </c>
      <c r="D142" s="2">
        <v>-4697</v>
      </c>
      <c r="E142" s="2">
        <v>-4795</v>
      </c>
      <c r="F142" s="2">
        <v>-2713</v>
      </c>
      <c r="G142" s="2">
        <v>-2641</v>
      </c>
      <c r="H142" s="2">
        <f t="shared" si="117"/>
        <v>-22513</v>
      </c>
      <c r="J142" s="25">
        <f t="shared" ref="J142:O148" si="128">+B142/B$121</f>
        <v>-0.59335763466990687</v>
      </c>
      <c r="K142" s="25">
        <f t="shared" si="128"/>
        <v>-1.1562266964951529</v>
      </c>
      <c r="L142" s="25">
        <f t="shared" si="128"/>
        <v>-0.95293162913369855</v>
      </c>
      <c r="M142" s="25">
        <f t="shared" si="128"/>
        <v>-1.3499436936936937</v>
      </c>
      <c r="N142" s="25">
        <f t="shared" si="128"/>
        <v>-1.0540015540015539</v>
      </c>
      <c r="O142" s="25">
        <f t="shared" si="128"/>
        <v>-5.2714570858283434</v>
      </c>
      <c r="P142" s="33"/>
      <c r="Q142" s="30"/>
      <c r="R142" s="25">
        <f t="shared" si="60"/>
        <v>-0.11117994623485696</v>
      </c>
      <c r="S142" s="25">
        <f t="shared" si="61"/>
        <v>6.6174400199464883E-2</v>
      </c>
      <c r="T142" s="25">
        <f t="shared" ref="T142:X148" si="129">(+B142-C142)/C142</f>
        <v>-0.76378587552402455</v>
      </c>
      <c r="U142" s="25">
        <f t="shared" si="129"/>
        <v>0.32041728763040239</v>
      </c>
      <c r="V142" s="25">
        <f t="shared" si="129"/>
        <v>-2.0437956204379562E-2</v>
      </c>
      <c r="W142" s="25">
        <f t="shared" si="129"/>
        <v>0.76741614448949502</v>
      </c>
      <c r="X142" s="25">
        <f t="shared" si="129"/>
        <v>2.7262400605831124E-2</v>
      </c>
    </row>
    <row r="143" spans="1:24" x14ac:dyDescent="0.25">
      <c r="A143" s="31" t="s">
        <v>164</v>
      </c>
      <c r="B143" s="2">
        <v>0</v>
      </c>
      <c r="C143" s="2">
        <v>0</v>
      </c>
      <c r="D143" s="2">
        <v>3500</v>
      </c>
      <c r="E143" s="2">
        <v>2967</v>
      </c>
      <c r="F143" s="2">
        <v>2990</v>
      </c>
      <c r="G143" s="2">
        <v>1496</v>
      </c>
      <c r="H143" s="2">
        <f t="shared" si="117"/>
        <v>10953</v>
      </c>
      <c r="J143" s="25">
        <f t="shared" si="128"/>
        <v>0</v>
      </c>
      <c r="K143" s="25">
        <f t="shared" si="128"/>
        <v>0</v>
      </c>
      <c r="L143" s="25">
        <f t="shared" si="128"/>
        <v>0.71008318117265168</v>
      </c>
      <c r="M143" s="25">
        <f t="shared" si="128"/>
        <v>0.83530405405405406</v>
      </c>
      <c r="N143" s="25">
        <f t="shared" si="128"/>
        <v>1.1616161616161615</v>
      </c>
      <c r="O143" s="25">
        <f t="shared" si="128"/>
        <v>2.9860279441117763</v>
      </c>
      <c r="P143" s="33"/>
      <c r="Q143" s="30"/>
      <c r="R143" s="25">
        <f t="shared" si="60"/>
        <v>-0.99999940914518248</v>
      </c>
      <c r="S143" s="25">
        <f t="shared" si="61"/>
        <v>4.2653382670779921E-2</v>
      </c>
      <c r="T143" s="25"/>
      <c r="U143" s="25">
        <f t="shared" si="129"/>
        <v>-1</v>
      </c>
      <c r="V143" s="25">
        <f t="shared" si="129"/>
        <v>0.17964273677114931</v>
      </c>
      <c r="W143" s="25">
        <f t="shared" si="129"/>
        <v>-7.6923076923076927E-3</v>
      </c>
      <c r="X143" s="25">
        <f t="shared" si="129"/>
        <v>0.99866310160427807</v>
      </c>
    </row>
    <row r="144" spans="1:24" x14ac:dyDescent="0.25">
      <c r="A144" s="31" t="s">
        <v>165</v>
      </c>
      <c r="B144" s="2">
        <v>10</v>
      </c>
      <c r="C144" s="2">
        <v>-924</v>
      </c>
      <c r="D144" s="2">
        <v>-116</v>
      </c>
      <c r="E144" s="2">
        <v>-99</v>
      </c>
      <c r="F144" s="2">
        <v>0</v>
      </c>
      <c r="G144" s="2">
        <v>0</v>
      </c>
      <c r="H144" s="2">
        <f t="shared" si="117"/>
        <v>-1129</v>
      </c>
      <c r="J144" s="25">
        <f t="shared" si="128"/>
        <v>4.0502227622519239E-3</v>
      </c>
      <c r="K144" s="25">
        <f t="shared" si="128"/>
        <v>-0.17225950782997762</v>
      </c>
      <c r="L144" s="25">
        <f t="shared" si="128"/>
        <v>-2.353418543315074E-2</v>
      </c>
      <c r="M144" s="25">
        <f t="shared" si="128"/>
        <v>-2.7871621621621621E-2</v>
      </c>
      <c r="N144" s="25">
        <f t="shared" si="128"/>
        <v>0</v>
      </c>
      <c r="O144" s="25">
        <f t="shared" si="128"/>
        <v>0</v>
      </c>
      <c r="P144" s="33"/>
      <c r="Q144" s="30"/>
      <c r="R144" s="25"/>
      <c r="S144" s="25">
        <f t="shared" si="61"/>
        <v>2.0421373007579908</v>
      </c>
      <c r="T144" s="25">
        <f t="shared" si="129"/>
        <v>-1.0108225108225108</v>
      </c>
      <c r="U144" s="25">
        <f t="shared" si="129"/>
        <v>6.9655172413793105</v>
      </c>
      <c r="V144" s="25">
        <f t="shared" si="129"/>
        <v>0.17171717171717171</v>
      </c>
      <c r="W144" s="25"/>
      <c r="X144" s="25"/>
    </row>
    <row r="145" spans="1:24" x14ac:dyDescent="0.25">
      <c r="A145" s="31" t="s">
        <v>166</v>
      </c>
      <c r="B145" s="2">
        <v>0</v>
      </c>
      <c r="C145" s="2">
        <v>0</v>
      </c>
      <c r="D145" s="2">
        <v>4000</v>
      </c>
      <c r="E145" s="2">
        <v>0</v>
      </c>
      <c r="F145" s="2">
        <v>0</v>
      </c>
      <c r="G145" s="2">
        <v>0</v>
      </c>
      <c r="H145" s="2">
        <f t="shared" si="117"/>
        <v>4000</v>
      </c>
      <c r="J145" s="25">
        <f t="shared" si="128"/>
        <v>0</v>
      </c>
      <c r="K145" s="25">
        <f t="shared" si="128"/>
        <v>0</v>
      </c>
      <c r="L145" s="25">
        <f t="shared" si="128"/>
        <v>0.81152363562588758</v>
      </c>
      <c r="M145" s="25">
        <f t="shared" si="128"/>
        <v>0</v>
      </c>
      <c r="N145" s="25">
        <f t="shared" si="128"/>
        <v>0</v>
      </c>
      <c r="O145" s="25">
        <f t="shared" si="128"/>
        <v>0</v>
      </c>
      <c r="P145" s="33"/>
      <c r="Q145" s="30"/>
      <c r="R145" s="25"/>
      <c r="S145" s="25">
        <f t="shared" si="61"/>
        <v>-1</v>
      </c>
      <c r="T145" s="25"/>
      <c r="U145" s="25">
        <f t="shared" si="129"/>
        <v>-1</v>
      </c>
      <c r="V145" s="25"/>
      <c r="W145" s="25"/>
      <c r="X145" s="25"/>
    </row>
    <row r="146" spans="1:24" x14ac:dyDescent="0.25">
      <c r="A146" s="31" t="s">
        <v>167</v>
      </c>
      <c r="B146" s="2">
        <v>0</v>
      </c>
      <c r="C146" s="2">
        <v>0</v>
      </c>
      <c r="D146" s="2">
        <v>-4000</v>
      </c>
      <c r="E146" s="2">
        <v>0</v>
      </c>
      <c r="F146" s="2">
        <v>0</v>
      </c>
      <c r="G146" s="2">
        <v>0</v>
      </c>
      <c r="H146" s="2">
        <f t="shared" si="117"/>
        <v>-4000</v>
      </c>
      <c r="J146" s="25">
        <f t="shared" si="128"/>
        <v>0</v>
      </c>
      <c r="K146" s="25">
        <f t="shared" si="128"/>
        <v>0</v>
      </c>
      <c r="L146" s="25">
        <f t="shared" si="128"/>
        <v>-0.81152363562588758</v>
      </c>
      <c r="M146" s="25">
        <f t="shared" si="128"/>
        <v>0</v>
      </c>
      <c r="N146" s="25">
        <f t="shared" si="128"/>
        <v>0</v>
      </c>
      <c r="O146" s="25">
        <f t="shared" si="128"/>
        <v>0</v>
      </c>
      <c r="P146" s="33"/>
      <c r="Q146" s="30"/>
      <c r="R146" s="25"/>
      <c r="S146" s="25">
        <f t="shared" si="61"/>
        <v>-1</v>
      </c>
      <c r="T146" s="25"/>
      <c r="U146" s="25">
        <f t="shared" si="129"/>
        <v>-1</v>
      </c>
      <c r="V146" s="25"/>
      <c r="W146" s="25"/>
      <c r="X146" s="25"/>
    </row>
    <row r="147" spans="1:24" x14ac:dyDescent="0.25">
      <c r="A147" s="31" t="s">
        <v>168</v>
      </c>
      <c r="B147" s="2">
        <v>228</v>
      </c>
      <c r="C147" s="2">
        <v>0</v>
      </c>
      <c r="D147" s="2">
        <v>0</v>
      </c>
      <c r="E147" s="2">
        <v>557</v>
      </c>
      <c r="F147" s="2">
        <v>2784</v>
      </c>
      <c r="G147" s="2">
        <v>6043</v>
      </c>
      <c r="H147" s="2">
        <f t="shared" si="117"/>
        <v>9612</v>
      </c>
      <c r="J147" s="25">
        <f t="shared" si="128"/>
        <v>9.2345078979343867E-2</v>
      </c>
      <c r="K147" s="25">
        <f t="shared" si="128"/>
        <v>0</v>
      </c>
      <c r="L147" s="25">
        <f t="shared" si="128"/>
        <v>0</v>
      </c>
      <c r="M147" s="25">
        <f t="shared" si="128"/>
        <v>0.15681306306306306</v>
      </c>
      <c r="N147" s="25">
        <f t="shared" si="128"/>
        <v>1.0815850815850816</v>
      </c>
      <c r="O147" s="25">
        <f t="shared" si="128"/>
        <v>12.061876247504991</v>
      </c>
      <c r="P147" s="33"/>
      <c r="Q147" s="30"/>
      <c r="R147" s="25">
        <f t="shared" si="60"/>
        <v>-0.48079788783255906</v>
      </c>
      <c r="S147" s="25">
        <f t="shared" si="61"/>
        <v>-0.77974327742494243</v>
      </c>
      <c r="T147" s="25"/>
      <c r="U147" s="25"/>
      <c r="V147" s="25">
        <f t="shared" si="129"/>
        <v>-1</v>
      </c>
      <c r="W147" s="25">
        <f t="shared" si="129"/>
        <v>-0.79992816091954022</v>
      </c>
      <c r="X147" s="25">
        <f t="shared" si="129"/>
        <v>-0.53930167135528706</v>
      </c>
    </row>
    <row r="148" spans="1:24" x14ac:dyDescent="0.25">
      <c r="A148" s="31" t="s">
        <v>169</v>
      </c>
      <c r="B148" s="2">
        <v>-228</v>
      </c>
      <c r="C148" s="2">
        <v>0</v>
      </c>
      <c r="D148" s="2">
        <v>0</v>
      </c>
      <c r="E148" s="2">
        <v>-557</v>
      </c>
      <c r="F148" s="2">
        <v>-3213</v>
      </c>
      <c r="G148" s="2">
        <v>-6249</v>
      </c>
      <c r="H148" s="2">
        <f t="shared" si="117"/>
        <v>-10247</v>
      </c>
      <c r="J148" s="25">
        <f t="shared" si="128"/>
        <v>-9.2345078979343867E-2</v>
      </c>
      <c r="K148" s="25">
        <f t="shared" si="128"/>
        <v>0</v>
      </c>
      <c r="L148" s="25">
        <f t="shared" si="128"/>
        <v>0</v>
      </c>
      <c r="M148" s="25">
        <f t="shared" si="128"/>
        <v>-0.15681306306306306</v>
      </c>
      <c r="N148" s="25">
        <f t="shared" si="128"/>
        <v>-1.2482517482517483</v>
      </c>
      <c r="O148" s="25">
        <f t="shared" si="128"/>
        <v>-12.473053892215569</v>
      </c>
      <c r="P148" s="33"/>
      <c r="Q148" s="30"/>
      <c r="R148" s="25">
        <f t="shared" si="60"/>
        <v>-0.48426706751700083</v>
      </c>
      <c r="S148" s="25">
        <f t="shared" si="61"/>
        <v>-0.77082650061856139</v>
      </c>
      <c r="T148" s="25"/>
      <c r="U148" s="25"/>
      <c r="V148" s="25">
        <f t="shared" si="129"/>
        <v>-1</v>
      </c>
      <c r="W148" s="25">
        <f t="shared" si="129"/>
        <v>-0.82664176781823839</v>
      </c>
      <c r="X148" s="25">
        <f t="shared" si="129"/>
        <v>-0.48583773403744601</v>
      </c>
    </row>
    <row r="149" spans="1:24" x14ac:dyDescent="0.25">
      <c r="A149" s="5" t="s">
        <v>306</v>
      </c>
      <c r="B149" s="6">
        <f>SUM(B142:B148)</f>
        <v>-1455</v>
      </c>
      <c r="C149" s="6">
        <f t="shared" ref="C149:G149" si="130">SUM(C142:C148)</f>
        <v>-7126</v>
      </c>
      <c r="D149" s="6">
        <f t="shared" si="130"/>
        <v>-1313</v>
      </c>
      <c r="E149" s="6">
        <f t="shared" si="130"/>
        <v>-1927</v>
      </c>
      <c r="F149" s="6">
        <f t="shared" si="130"/>
        <v>-152</v>
      </c>
      <c r="G149" s="6">
        <f t="shared" si="130"/>
        <v>-1351</v>
      </c>
      <c r="H149" s="6">
        <f t="shared" si="117"/>
        <v>-13324</v>
      </c>
      <c r="J149" s="25"/>
      <c r="K149" s="25"/>
      <c r="L149" s="25"/>
      <c r="M149" s="25"/>
      <c r="N149" s="25"/>
      <c r="O149" s="25"/>
      <c r="P149" s="33"/>
      <c r="Q149" s="30"/>
      <c r="R149" s="25"/>
      <c r="S149" s="25"/>
      <c r="T149" s="25"/>
      <c r="U149" s="25"/>
      <c r="V149" s="25"/>
      <c r="W149" s="25"/>
      <c r="X149" s="25"/>
    </row>
    <row r="150" spans="1:24" x14ac:dyDescent="0.25">
      <c r="A150" s="5" t="s">
        <v>307</v>
      </c>
      <c r="B150" s="2">
        <v>-1960</v>
      </c>
      <c r="C150" s="2">
        <v>-1959</v>
      </c>
      <c r="D150" s="2">
        <v>-1958</v>
      </c>
      <c r="E150" s="2">
        <v>-1953</v>
      </c>
      <c r="F150" s="2">
        <v>-3183</v>
      </c>
      <c r="G150" s="2">
        <v>-2888</v>
      </c>
      <c r="H150" s="2">
        <f t="shared" si="117"/>
        <v>-13901</v>
      </c>
      <c r="J150" s="25">
        <f t="shared" ref="J150:O156" si="131">+B150/B$121</f>
        <v>-0.79384366140137708</v>
      </c>
      <c r="K150" s="25">
        <f t="shared" si="131"/>
        <v>-0.36521252796420584</v>
      </c>
      <c r="L150" s="25">
        <f t="shared" si="131"/>
        <v>-0.39724081963887198</v>
      </c>
      <c r="M150" s="25">
        <f t="shared" si="131"/>
        <v>-0.54983108108108103</v>
      </c>
      <c r="N150" s="25">
        <f t="shared" si="131"/>
        <v>-1.2365967365967365</v>
      </c>
      <c r="O150" s="25">
        <f t="shared" si="131"/>
        <v>-5.764471057884232</v>
      </c>
      <c r="P150" s="33"/>
      <c r="Q150" s="30"/>
      <c r="R150" s="25">
        <f t="shared" si="60"/>
        <v>-7.4595138905815289E-2</v>
      </c>
      <c r="S150" s="25">
        <f t="shared" si="61"/>
        <v>-5.6139946040355194E-2</v>
      </c>
      <c r="T150" s="25">
        <f t="shared" ref="T150:X156" si="132">(+B150-C150)/C150</f>
        <v>5.1046452271567128E-4</v>
      </c>
      <c r="U150" s="25">
        <f t="shared" si="132"/>
        <v>5.1072522982635344E-4</v>
      </c>
      <c r="V150" s="25">
        <f t="shared" si="132"/>
        <v>2.5601638504864311E-3</v>
      </c>
      <c r="W150" s="25">
        <f t="shared" si="132"/>
        <v>-0.38642789820923656</v>
      </c>
      <c r="X150" s="25">
        <f t="shared" si="132"/>
        <v>0.10214681440443213</v>
      </c>
    </row>
    <row r="151" spans="1:24" x14ac:dyDescent="0.25">
      <c r="A151" s="5" t="s">
        <v>174</v>
      </c>
      <c r="B151" s="2">
        <v>-299</v>
      </c>
      <c r="C151" s="2">
        <v>-259</v>
      </c>
      <c r="D151" s="2">
        <v>-60</v>
      </c>
      <c r="E151" s="2">
        <v>-33</v>
      </c>
      <c r="F151" s="2">
        <v>-28</v>
      </c>
      <c r="G151" s="2">
        <v>18</v>
      </c>
      <c r="H151" s="2">
        <f t="shared" si="117"/>
        <v>-661</v>
      </c>
      <c r="J151" s="25">
        <f t="shared" si="131"/>
        <v>-0.12110166059133252</v>
      </c>
      <c r="K151" s="25">
        <f t="shared" si="131"/>
        <v>-4.8284862043251303E-2</v>
      </c>
      <c r="L151" s="25">
        <f t="shared" si="131"/>
        <v>-1.2172854534388313E-2</v>
      </c>
      <c r="M151" s="25">
        <f t="shared" si="131"/>
        <v>-9.2905405405405411E-3</v>
      </c>
      <c r="N151" s="25">
        <f t="shared" si="131"/>
        <v>-1.0878010878010878E-2</v>
      </c>
      <c r="O151" s="25">
        <f t="shared" si="131"/>
        <v>3.5928143712574849E-2</v>
      </c>
      <c r="P151" s="33"/>
      <c r="Q151" s="30"/>
      <c r="R151" s="25">
        <f>((B151/G151)^1/5)-1</f>
        <v>-4.322222222222222</v>
      </c>
      <c r="S151" s="25">
        <f t="shared" si="61"/>
        <v>0.38246090246090264</v>
      </c>
      <c r="T151" s="25">
        <f t="shared" si="132"/>
        <v>0.15444015444015444</v>
      </c>
      <c r="U151" s="25">
        <f t="shared" si="132"/>
        <v>3.3166666666666669</v>
      </c>
      <c r="V151" s="25">
        <f t="shared" si="132"/>
        <v>0.81818181818181823</v>
      </c>
      <c r="W151" s="25">
        <f t="shared" si="132"/>
        <v>0.17857142857142858</v>
      </c>
      <c r="X151" s="25">
        <f t="shared" si="132"/>
        <v>-2.5555555555555554</v>
      </c>
    </row>
    <row r="152" spans="1:24" x14ac:dyDescent="0.25">
      <c r="A152" s="2" t="s">
        <v>175</v>
      </c>
      <c r="B152" s="10">
        <f>SUM(B149:B151)</f>
        <v>-3714</v>
      </c>
      <c r="C152" s="10">
        <f t="shared" ref="C152:G152" si="133">SUM(C149:C151)</f>
        <v>-9344</v>
      </c>
      <c r="D152" s="10">
        <f t="shared" si="133"/>
        <v>-3331</v>
      </c>
      <c r="E152" s="10">
        <f t="shared" si="133"/>
        <v>-3913</v>
      </c>
      <c r="F152" s="10">
        <f t="shared" si="133"/>
        <v>-3363</v>
      </c>
      <c r="G152" s="10">
        <f t="shared" si="133"/>
        <v>-4221</v>
      </c>
      <c r="H152" s="10">
        <f t="shared" si="117"/>
        <v>-27886</v>
      </c>
      <c r="J152" s="29">
        <f t="shared" si="131"/>
        <v>-1.5042527339003646</v>
      </c>
      <c r="K152" s="29">
        <f t="shared" si="131"/>
        <v>-1.7419835943325876</v>
      </c>
      <c r="L152" s="29">
        <f t="shared" si="131"/>
        <v>-0.6757963075674579</v>
      </c>
      <c r="M152" s="29">
        <f t="shared" si="131"/>
        <v>-1.101632882882883</v>
      </c>
      <c r="N152" s="29">
        <f t="shared" si="131"/>
        <v>-1.3065268065268065</v>
      </c>
      <c r="O152" s="29">
        <f t="shared" si="131"/>
        <v>-8.4251497005988032</v>
      </c>
      <c r="P152" s="33"/>
      <c r="Q152" s="30"/>
      <c r="R152" s="29">
        <f t="shared" ref="R152:R156" si="134">RATE(5,0,-G152,B152)</f>
        <v>-2.5267808183075099E-2</v>
      </c>
      <c r="S152" s="29">
        <f t="shared" ref="S152:S156" si="135">AVERAGE(T152:X152)</f>
        <v>0.20283560611242665</v>
      </c>
      <c r="T152" s="29">
        <f t="shared" si="132"/>
        <v>-0.60252568493150682</v>
      </c>
      <c r="U152" s="29">
        <f t="shared" si="132"/>
        <v>1.805163614530171</v>
      </c>
      <c r="V152" s="29">
        <f t="shared" si="132"/>
        <v>-0.14873498594428827</v>
      </c>
      <c r="W152" s="29">
        <f t="shared" si="132"/>
        <v>0.16354445435622955</v>
      </c>
      <c r="X152" s="29">
        <f t="shared" si="132"/>
        <v>-0.20326936744847193</v>
      </c>
    </row>
    <row r="153" spans="1:24" x14ac:dyDescent="0.25">
      <c r="A153" s="2" t="s">
        <v>176</v>
      </c>
      <c r="B153" s="2">
        <v>-69</v>
      </c>
      <c r="C153" s="2">
        <v>-30</v>
      </c>
      <c r="D153" s="2">
        <v>62</v>
      </c>
      <c r="E153" s="2">
        <v>-6</v>
      </c>
      <c r="F153" s="2">
        <v>-132</v>
      </c>
      <c r="G153" s="2">
        <v>57</v>
      </c>
      <c r="H153" s="2">
        <f t="shared" si="117"/>
        <v>-118</v>
      </c>
      <c r="J153" s="29">
        <f t="shared" si="131"/>
        <v>-2.7946537059538274E-2</v>
      </c>
      <c r="K153" s="29">
        <f t="shared" si="131"/>
        <v>-5.5928411633109623E-3</v>
      </c>
      <c r="L153" s="29">
        <f t="shared" si="131"/>
        <v>1.2578616352201259E-2</v>
      </c>
      <c r="M153" s="29">
        <f t="shared" si="131"/>
        <v>-1.6891891891891893E-3</v>
      </c>
      <c r="N153" s="29">
        <f t="shared" si="131"/>
        <v>-5.128205128205128E-2</v>
      </c>
      <c r="O153" s="29">
        <f t="shared" si="131"/>
        <v>0.11377245508982035</v>
      </c>
      <c r="P153" s="33"/>
      <c r="Q153" s="30"/>
      <c r="R153" s="29">
        <f>((B153/G153)^1/5)-1</f>
        <v>-1.2421052631578948</v>
      </c>
      <c r="S153" s="29">
        <f t="shared" si="135"/>
        <v>-3.1575078458609869</v>
      </c>
      <c r="T153" s="29">
        <f t="shared" si="132"/>
        <v>1.3</v>
      </c>
      <c r="U153" s="29">
        <f t="shared" si="132"/>
        <v>-1.4838709677419355</v>
      </c>
      <c r="V153" s="29">
        <f t="shared" si="132"/>
        <v>-11.333333333333334</v>
      </c>
      <c r="W153" s="29">
        <f t="shared" si="132"/>
        <v>-0.95454545454545459</v>
      </c>
      <c r="X153" s="29">
        <f t="shared" si="132"/>
        <v>-3.3157894736842106</v>
      </c>
    </row>
    <row r="154" spans="1:24" x14ac:dyDescent="0.25">
      <c r="A154" s="2" t="s">
        <v>177</v>
      </c>
      <c r="B154" s="6">
        <f t="shared" ref="B154:G154" si="136">+B153+B152+B140+B121</f>
        <v>-2405</v>
      </c>
      <c r="C154" s="6">
        <f t="shared" si="136"/>
        <v>28</v>
      </c>
      <c r="D154" s="6">
        <f t="shared" si="136"/>
        <v>1138</v>
      </c>
      <c r="E154" s="6">
        <f t="shared" si="136"/>
        <v>1144</v>
      </c>
      <c r="F154" s="6">
        <f t="shared" si="136"/>
        <v>-633</v>
      </c>
      <c r="G154" s="6">
        <f t="shared" si="136"/>
        <v>-2486</v>
      </c>
      <c r="H154" s="6">
        <f t="shared" si="117"/>
        <v>-3214</v>
      </c>
      <c r="J154" s="25">
        <f t="shared" si="131"/>
        <v>-0.97407857432158773</v>
      </c>
      <c r="K154" s="25">
        <f t="shared" si="131"/>
        <v>5.219985085756898E-3</v>
      </c>
      <c r="L154" s="25">
        <f t="shared" si="131"/>
        <v>0.23087847433556502</v>
      </c>
      <c r="M154" s="25">
        <f t="shared" si="131"/>
        <v>0.32207207207207206</v>
      </c>
      <c r="N154" s="25">
        <f t="shared" si="131"/>
        <v>-0.24592074592074592</v>
      </c>
      <c r="O154" s="25">
        <f t="shared" si="131"/>
        <v>-4.9620758483033933</v>
      </c>
      <c r="P154" s="33"/>
      <c r="Q154" s="30"/>
      <c r="R154" s="25">
        <f t="shared" si="134"/>
        <v>-6.6031208578273834E-3</v>
      </c>
      <c r="S154" s="25">
        <f t="shared" si="135"/>
        <v>-18.285227681247186</v>
      </c>
      <c r="T154" s="25">
        <f t="shared" si="132"/>
        <v>-86.892857142857139</v>
      </c>
      <c r="U154" s="25">
        <f t="shared" si="132"/>
        <v>-0.97539543057996481</v>
      </c>
      <c r="V154" s="25">
        <f t="shared" si="132"/>
        <v>-5.244755244755245E-3</v>
      </c>
      <c r="W154" s="25">
        <f t="shared" si="132"/>
        <v>-2.807266982622433</v>
      </c>
      <c r="X154" s="25">
        <f t="shared" si="132"/>
        <v>-0.7453740949316171</v>
      </c>
    </row>
    <row r="155" spans="1:24" x14ac:dyDescent="0.25">
      <c r="A155" s="2" t="s">
        <v>178</v>
      </c>
      <c r="B155" s="2">
        <f>+C156</f>
        <v>3446</v>
      </c>
      <c r="C155" s="2">
        <f t="shared" ref="C155:E155" si="137">+D156</f>
        <v>3418</v>
      </c>
      <c r="D155" s="2">
        <v>2280</v>
      </c>
      <c r="E155" s="2">
        <f t="shared" si="137"/>
        <v>1136</v>
      </c>
      <c r="F155" s="2">
        <v>1769</v>
      </c>
      <c r="G155" s="2">
        <v>4255</v>
      </c>
      <c r="H155" s="2">
        <f>+G155</f>
        <v>4255</v>
      </c>
      <c r="J155" s="25">
        <f t="shared" si="131"/>
        <v>1.3957067638720129</v>
      </c>
      <c r="K155" s="25">
        <f t="shared" si="131"/>
        <v>0.63721103653989564</v>
      </c>
      <c r="L155" s="25">
        <f t="shared" si="131"/>
        <v>0.46256847230675591</v>
      </c>
      <c r="M155" s="25">
        <f t="shared" si="131"/>
        <v>0.31981981981981983</v>
      </c>
      <c r="N155" s="25">
        <f t="shared" si="131"/>
        <v>0.68725718725718721</v>
      </c>
      <c r="O155" s="25">
        <f t="shared" si="131"/>
        <v>8.4930139720558877</v>
      </c>
      <c r="P155" s="33"/>
      <c r="Q155" s="30"/>
      <c r="R155" s="25">
        <f t="shared" si="134"/>
        <v>-4.1299085289094761E-2</v>
      </c>
      <c r="S155" s="25">
        <f t="shared" si="135"/>
        <v>0.11445477690487413</v>
      </c>
      <c r="T155" s="25">
        <f t="shared" si="132"/>
        <v>8.1919251023990641E-3</v>
      </c>
      <c r="U155" s="25">
        <f t="shared" si="132"/>
        <v>0.49912280701754386</v>
      </c>
      <c r="V155" s="25">
        <f t="shared" si="132"/>
        <v>1.0070422535211268</v>
      </c>
      <c r="W155" s="25">
        <f t="shared" si="132"/>
        <v>-0.35782928208027132</v>
      </c>
      <c r="X155" s="25">
        <f t="shared" si="132"/>
        <v>-0.5842538190364277</v>
      </c>
    </row>
    <row r="156" spans="1:24" ht="15.75" thickBot="1" x14ac:dyDescent="0.3">
      <c r="A156" s="2" t="s">
        <v>179</v>
      </c>
      <c r="B156" s="9">
        <f>+B155+B154</f>
        <v>1041</v>
      </c>
      <c r="C156" s="9">
        <f t="shared" ref="C156:G156" si="138">+C155+C154</f>
        <v>3446</v>
      </c>
      <c r="D156" s="9">
        <f t="shared" si="138"/>
        <v>3418</v>
      </c>
      <c r="E156" s="9">
        <f t="shared" si="138"/>
        <v>2280</v>
      </c>
      <c r="F156" s="9">
        <f t="shared" si="138"/>
        <v>1136</v>
      </c>
      <c r="G156" s="9">
        <f t="shared" si="138"/>
        <v>1769</v>
      </c>
      <c r="H156" s="9">
        <f>+H155+H154</f>
        <v>1041</v>
      </c>
      <c r="J156" s="28">
        <f t="shared" si="131"/>
        <v>0.42162818955042525</v>
      </c>
      <c r="K156" s="28">
        <f t="shared" si="131"/>
        <v>0.64243102162565247</v>
      </c>
      <c r="L156" s="28">
        <f t="shared" si="131"/>
        <v>0.69344694664232098</v>
      </c>
      <c r="M156" s="28">
        <f t="shared" si="131"/>
        <v>0.64189189189189189</v>
      </c>
      <c r="N156" s="28">
        <f t="shared" si="131"/>
        <v>0.44133644133644134</v>
      </c>
      <c r="O156" s="28">
        <f t="shared" si="131"/>
        <v>3.5309381237524948</v>
      </c>
      <c r="P156" s="33"/>
      <c r="Q156" s="30"/>
      <c r="R156" s="28">
        <f t="shared" si="134"/>
        <v>-0.10061719678040582</v>
      </c>
      <c r="S156" s="28">
        <f t="shared" si="135"/>
        <v>9.1723416510186367E-2</v>
      </c>
      <c r="T156" s="28">
        <f t="shared" si="132"/>
        <v>-0.69791062100986656</v>
      </c>
      <c r="U156" s="28">
        <f t="shared" si="132"/>
        <v>8.1919251023990641E-3</v>
      </c>
      <c r="V156" s="28">
        <f t="shared" si="132"/>
        <v>0.49912280701754386</v>
      </c>
      <c r="W156" s="28">
        <f t="shared" si="132"/>
        <v>1.0070422535211268</v>
      </c>
      <c r="X156" s="28">
        <f t="shared" si="132"/>
        <v>-0.35782928208027132</v>
      </c>
    </row>
    <row r="157" spans="1:24" ht="15.75" thickTop="1" x14ac:dyDescent="0.25">
      <c r="A157" s="3" t="s">
        <v>308</v>
      </c>
      <c r="B157" s="2">
        <f t="shared" ref="B157:G157" si="139">+B156-B6</f>
        <v>1</v>
      </c>
      <c r="C157" s="2">
        <f t="shared" si="139"/>
        <v>1</v>
      </c>
      <c r="D157" s="2">
        <f t="shared" si="139"/>
        <v>1</v>
      </c>
      <c r="E157" s="2">
        <f t="shared" si="139"/>
        <v>1</v>
      </c>
      <c r="F157" s="2">
        <f t="shared" si="139"/>
        <v>6</v>
      </c>
      <c r="G157" s="2">
        <f t="shared" si="139"/>
        <v>140</v>
      </c>
      <c r="P157" s="30"/>
      <c r="Q157" s="30"/>
    </row>
    <row r="158" spans="1:24" x14ac:dyDescent="0.25">
      <c r="Q158" s="30"/>
    </row>
    <row r="159" spans="1:24" hidden="1" x14ac:dyDescent="0.25">
      <c r="A159" s="2" t="s">
        <v>181</v>
      </c>
      <c r="B159" s="8">
        <v>937</v>
      </c>
      <c r="C159" s="8">
        <v>1196</v>
      </c>
      <c r="D159" s="8">
        <v>1286</v>
      </c>
      <c r="E159" s="8">
        <v>1306</v>
      </c>
      <c r="F159" s="8">
        <v>1322</v>
      </c>
      <c r="G159" s="8">
        <v>1269</v>
      </c>
      <c r="H159" s="8"/>
    </row>
    <row r="160" spans="1:24" hidden="1" x14ac:dyDescent="0.25">
      <c r="A160" s="2" t="s">
        <v>182</v>
      </c>
      <c r="B160" s="2">
        <v>1260</v>
      </c>
      <c r="C160" s="2">
        <v>1295</v>
      </c>
      <c r="D160" s="2">
        <v>1027</v>
      </c>
      <c r="E160" s="2">
        <v>974</v>
      </c>
      <c r="F160" s="2">
        <v>543</v>
      </c>
      <c r="G160" s="2">
        <v>1206</v>
      </c>
    </row>
    <row r="161" spans="1:8" hidden="1" x14ac:dyDescent="0.25">
      <c r="A161" s="2" t="s">
        <v>183</v>
      </c>
      <c r="B161" s="8">
        <v>173</v>
      </c>
      <c r="C161" s="8">
        <v>176</v>
      </c>
      <c r="D161" s="8">
        <v>173</v>
      </c>
      <c r="E161" s="8">
        <v>191</v>
      </c>
      <c r="F161" s="8">
        <v>200</v>
      </c>
      <c r="G161" s="8">
        <v>244</v>
      </c>
      <c r="H161" s="8"/>
    </row>
    <row r="163" spans="1:8" s="53" customFormat="1" x14ac:dyDescent="0.25">
      <c r="A163" s="66" t="str">
        <f>+A1</f>
        <v>Kraft Heinz Company</v>
      </c>
      <c r="B163" s="66" t="str">
        <f>+B1</f>
        <v>Reclassified</v>
      </c>
      <c r="C163" s="66"/>
      <c r="D163" s="66"/>
      <c r="E163" s="66"/>
      <c r="F163" s="66"/>
      <c r="G163" s="66"/>
    </row>
    <row r="164" spans="1:8" s="53" customFormat="1" x14ac:dyDescent="0.25">
      <c r="A164" s="66" t="s">
        <v>184</v>
      </c>
      <c r="B164" s="66"/>
      <c r="C164" s="66"/>
      <c r="D164" s="66"/>
      <c r="E164" s="66"/>
      <c r="F164" s="66"/>
      <c r="G164" s="66"/>
    </row>
    <row r="165" spans="1:8" s="53" customFormat="1" x14ac:dyDescent="0.25">
      <c r="A165" s="66" t="str">
        <f>+A3</f>
        <v>in millions except per share data</v>
      </c>
      <c r="B165" s="66"/>
      <c r="C165" s="66"/>
      <c r="D165" s="66"/>
      <c r="E165" s="66"/>
      <c r="F165" s="66" t="s">
        <v>262</v>
      </c>
      <c r="G165" s="67" t="s">
        <v>66</v>
      </c>
      <c r="H165" s="65"/>
    </row>
    <row r="166" spans="1:8" s="53" customFormat="1" ht="15.75" thickBot="1" x14ac:dyDescent="0.3">
      <c r="A166" s="67" t="str">
        <f>+A4</f>
        <v>Fiscal Year ended 12/31:</v>
      </c>
      <c r="B166" s="71">
        <v>2022</v>
      </c>
      <c r="C166" s="71">
        <v>2021</v>
      </c>
      <c r="D166" s="71">
        <v>2020</v>
      </c>
      <c r="E166" s="71">
        <v>2019</v>
      </c>
      <c r="F166" s="71">
        <v>2018</v>
      </c>
      <c r="G166" s="71">
        <v>2017</v>
      </c>
      <c r="H166" s="77"/>
    </row>
    <row r="167" spans="1:8" s="20" customFormat="1" x14ac:dyDescent="0.25">
      <c r="A167" s="20" t="s">
        <v>185</v>
      </c>
      <c r="B167" s="23">
        <v>945</v>
      </c>
      <c r="C167" s="23">
        <v>1039</v>
      </c>
      <c r="D167" s="23">
        <v>1070</v>
      </c>
      <c r="E167" s="23">
        <v>1100</v>
      </c>
      <c r="F167" s="23">
        <v>1140</v>
      </c>
      <c r="G167" s="23">
        <v>1115</v>
      </c>
      <c r="H167" s="23"/>
    </row>
    <row r="168" spans="1:8" s="20" customFormat="1" x14ac:dyDescent="0.25">
      <c r="A168" s="20" t="s">
        <v>186</v>
      </c>
      <c r="B168" s="22">
        <v>127</v>
      </c>
      <c r="C168" s="22">
        <v>140</v>
      </c>
      <c r="D168" s="22">
        <v>119</v>
      </c>
      <c r="E168" s="22">
        <v>112</v>
      </c>
      <c r="F168" s="22">
        <v>109</v>
      </c>
      <c r="G168" s="22">
        <v>93</v>
      </c>
      <c r="H168" s="22"/>
    </row>
    <row r="169" spans="1:8" s="20" customFormat="1" x14ac:dyDescent="0.25">
      <c r="B169" s="21"/>
      <c r="C169" s="21"/>
      <c r="D169" s="21"/>
      <c r="E169" s="21"/>
      <c r="F169" s="21"/>
      <c r="G169" s="21"/>
      <c r="H169" s="21"/>
    </row>
    <row r="170" spans="1:8" x14ac:dyDescent="0.25">
      <c r="A170" s="2" t="s">
        <v>187</v>
      </c>
      <c r="B170" s="8">
        <v>200</v>
      </c>
      <c r="C170" s="8">
        <v>207</v>
      </c>
      <c r="D170" s="8">
        <v>219</v>
      </c>
      <c r="E170" s="8">
        <v>210</v>
      </c>
      <c r="F170" s="8">
        <v>218</v>
      </c>
      <c r="G170" s="8">
        <v>250</v>
      </c>
      <c r="H170" s="8"/>
    </row>
    <row r="171" spans="1:8" x14ac:dyDescent="0.25">
      <c r="A171" s="2" t="s">
        <v>188</v>
      </c>
      <c r="B171" s="2">
        <v>1161</v>
      </c>
      <c r="C171" s="2">
        <v>1002</v>
      </c>
      <c r="D171" s="2">
        <v>792</v>
      </c>
      <c r="E171" s="2">
        <v>1033</v>
      </c>
      <c r="F171" s="2">
        <v>1165</v>
      </c>
      <c r="G171" s="2">
        <v>1345</v>
      </c>
    </row>
    <row r="172" spans="1:8" x14ac:dyDescent="0.25">
      <c r="A172" s="2" t="s">
        <v>189</v>
      </c>
      <c r="B172" s="2">
        <f>+B173-B171-B170</f>
        <v>9591</v>
      </c>
      <c r="C172" s="2">
        <f t="shared" ref="C172:G172" si="140">+C173-C171-C170</f>
        <v>9465</v>
      </c>
      <c r="D172" s="2">
        <f t="shared" si="140"/>
        <v>9428</v>
      </c>
      <c r="E172" s="2">
        <f t="shared" si="140"/>
        <v>8999</v>
      </c>
      <c r="F172" s="2">
        <f t="shared" si="140"/>
        <v>8279</v>
      </c>
      <c r="G172" s="2">
        <f t="shared" si="140"/>
        <v>7555</v>
      </c>
    </row>
    <row r="173" spans="1:8" x14ac:dyDescent="0.25">
      <c r="A173" s="2" t="s">
        <v>190</v>
      </c>
      <c r="B173" s="6">
        <f>+B175-B174</f>
        <v>10952</v>
      </c>
      <c r="C173" s="6">
        <f t="shared" ref="C173:G173" si="141">+C175-C174</f>
        <v>10674</v>
      </c>
      <c r="D173" s="6">
        <f t="shared" si="141"/>
        <v>10439</v>
      </c>
      <c r="E173" s="6">
        <f t="shared" si="141"/>
        <v>10242</v>
      </c>
      <c r="F173" s="6">
        <f t="shared" si="141"/>
        <v>9662</v>
      </c>
      <c r="G173" s="6">
        <f t="shared" si="141"/>
        <v>9150</v>
      </c>
      <c r="H173" s="30"/>
    </row>
    <row r="174" spans="1:8" x14ac:dyDescent="0.25">
      <c r="A174" s="2" t="s">
        <v>191</v>
      </c>
      <c r="B174" s="2">
        <v>-4212</v>
      </c>
      <c r="C174" s="2">
        <v>-3868</v>
      </c>
      <c r="D174" s="2">
        <v>-3563</v>
      </c>
      <c r="E174" s="2">
        <v>-3187</v>
      </c>
      <c r="F174" s="2">
        <v>-2584</v>
      </c>
      <c r="G174" s="2">
        <v>-2089</v>
      </c>
    </row>
    <row r="175" spans="1:8" ht="15.75" thickBot="1" x14ac:dyDescent="0.3">
      <c r="A175" s="2" t="s">
        <v>22</v>
      </c>
      <c r="B175" s="9">
        <f t="shared" ref="B175:G175" si="142">+B17</f>
        <v>6740</v>
      </c>
      <c r="C175" s="9">
        <f t="shared" si="142"/>
        <v>6806</v>
      </c>
      <c r="D175" s="9">
        <f t="shared" si="142"/>
        <v>6876</v>
      </c>
      <c r="E175" s="9">
        <f t="shared" si="142"/>
        <v>7055</v>
      </c>
      <c r="F175" s="9">
        <f t="shared" si="142"/>
        <v>7078</v>
      </c>
      <c r="G175" s="9">
        <f t="shared" si="142"/>
        <v>7061</v>
      </c>
      <c r="H175" s="32"/>
    </row>
    <row r="176" spans="1:8" ht="15.75" thickTop="1" x14ac:dyDescent="0.25"/>
    <row r="177" spans="1:24" x14ac:dyDescent="0.25">
      <c r="A177" s="2" t="s">
        <v>192</v>
      </c>
      <c r="B177" s="8">
        <v>672</v>
      </c>
      <c r="C177" s="8">
        <v>671</v>
      </c>
      <c r="D177" s="8">
        <v>705</v>
      </c>
      <c r="E177" s="8">
        <v>708</v>
      </c>
      <c r="F177" s="8">
        <v>693</v>
      </c>
      <c r="G177" s="8">
        <v>680</v>
      </c>
      <c r="H177" s="8"/>
    </row>
    <row r="179" spans="1:24" x14ac:dyDescent="0.25">
      <c r="A179" s="2" t="s">
        <v>193</v>
      </c>
      <c r="B179" s="8">
        <v>668</v>
      </c>
      <c r="C179" s="8">
        <v>569</v>
      </c>
      <c r="D179" s="8">
        <v>562</v>
      </c>
      <c r="E179" s="8">
        <v>542</v>
      </c>
      <c r="F179" s="8">
        <v>0</v>
      </c>
      <c r="G179" s="8">
        <v>0</v>
      </c>
      <c r="H179" s="8"/>
    </row>
    <row r="180" spans="1:24" x14ac:dyDescent="0.25">
      <c r="A180" s="2" t="s">
        <v>194</v>
      </c>
      <c r="B180" s="2">
        <v>125</v>
      </c>
      <c r="C180" s="2">
        <v>133</v>
      </c>
      <c r="D180" s="2">
        <v>135</v>
      </c>
      <c r="E180" s="2">
        <v>147</v>
      </c>
      <c r="F180" s="2">
        <v>0</v>
      </c>
      <c r="G180" s="2">
        <v>0</v>
      </c>
    </row>
    <row r="181" spans="1:24" x14ac:dyDescent="0.25">
      <c r="A181" s="2" t="s">
        <v>195</v>
      </c>
      <c r="B181" s="8">
        <v>585</v>
      </c>
      <c r="C181" s="8">
        <v>484</v>
      </c>
      <c r="D181" s="8">
        <v>475</v>
      </c>
      <c r="E181" s="8">
        <v>454</v>
      </c>
      <c r="F181" s="8">
        <v>0</v>
      </c>
      <c r="G181" s="8">
        <v>0</v>
      </c>
      <c r="H181" s="8"/>
    </row>
    <row r="184" spans="1:24" s="19" customFormat="1" x14ac:dyDescent="0.25">
      <c r="A184" s="66" t="str">
        <f>+A1</f>
        <v>Kraft Heinz Company</v>
      </c>
      <c r="B184" s="66" t="str">
        <f>+B1</f>
        <v>Reclassified</v>
      </c>
      <c r="C184" s="66"/>
      <c r="D184" s="66"/>
      <c r="E184" s="66"/>
      <c r="F184" s="66"/>
      <c r="G184" s="66"/>
      <c r="H184" s="53"/>
    </row>
    <row r="185" spans="1:24" s="19" customFormat="1" x14ac:dyDescent="0.25">
      <c r="A185" s="66" t="s">
        <v>309</v>
      </c>
      <c r="B185" s="66"/>
      <c r="C185" s="66"/>
      <c r="D185" s="66"/>
      <c r="E185" s="66"/>
      <c r="F185" s="66"/>
      <c r="G185" s="66"/>
      <c r="H185" s="53"/>
    </row>
    <row r="186" spans="1:24" s="19" customFormat="1" x14ac:dyDescent="0.25">
      <c r="A186" s="66" t="str">
        <f>+A3</f>
        <v>in millions except per share data</v>
      </c>
      <c r="B186" s="66"/>
      <c r="C186" s="66"/>
      <c r="D186" s="66"/>
      <c r="E186" s="66"/>
      <c r="F186" s="66" t="s">
        <v>262</v>
      </c>
      <c r="G186" s="72" t="s">
        <v>66</v>
      </c>
      <c r="H186" s="65"/>
    </row>
    <row r="187" spans="1:24" s="19" customFormat="1" ht="15.75" thickBot="1" x14ac:dyDescent="0.3">
      <c r="A187" s="67" t="str">
        <f>+A4</f>
        <v>Fiscal Year ended 12/31:</v>
      </c>
      <c r="B187" s="69">
        <v>2022</v>
      </c>
      <c r="C187" s="69">
        <v>2021</v>
      </c>
      <c r="D187" s="69">
        <v>2020</v>
      </c>
      <c r="E187" s="69">
        <v>2019</v>
      </c>
      <c r="F187" s="69">
        <v>2018</v>
      </c>
      <c r="G187" s="69">
        <v>2017</v>
      </c>
      <c r="H187" s="77"/>
    </row>
    <row r="188" spans="1:24" x14ac:dyDescent="0.25">
      <c r="A188" s="5" t="s">
        <v>79</v>
      </c>
      <c r="B188" s="8">
        <v>0</v>
      </c>
      <c r="C188" s="8">
        <v>0</v>
      </c>
      <c r="D188" s="8">
        <v>0</v>
      </c>
      <c r="E188" s="8">
        <v>0</v>
      </c>
      <c r="F188" s="8">
        <v>152</v>
      </c>
      <c r="G188" s="8">
        <v>538</v>
      </c>
      <c r="H188" s="8"/>
      <c r="J188" s="25">
        <f t="shared" ref="J188:O191" si="143">+B188/B$21</f>
        <v>0</v>
      </c>
      <c r="K188" s="25">
        <f t="shared" si="143"/>
        <v>0</v>
      </c>
      <c r="L188" s="25">
        <f t="shared" si="143"/>
        <v>0</v>
      </c>
      <c r="M188" s="25">
        <f t="shared" si="143"/>
        <v>0</v>
      </c>
      <c r="N188" s="25">
        <f t="shared" si="143"/>
        <v>1.4691526275601434E-3</v>
      </c>
      <c r="O188" s="25">
        <f t="shared" si="143"/>
        <v>4.4798987442960401E-3</v>
      </c>
      <c r="P188" s="25"/>
      <c r="R188" s="25">
        <f t="shared" ref="R188:R191" si="144">RATE(5,0,-G188,B188)</f>
        <v>-0.99999940914518248</v>
      </c>
      <c r="S188" s="25">
        <f t="shared" ref="S188:S191" si="145">AVERAGE(T188:X188)</f>
        <v>-0.85873605947955389</v>
      </c>
      <c r="T188" s="25"/>
      <c r="U188" s="25"/>
      <c r="V188" s="25"/>
      <c r="W188" s="25">
        <f t="shared" ref="W188:W191" si="146">(+E188-F188)/F188</f>
        <v>-1</v>
      </c>
      <c r="X188" s="25">
        <f t="shared" ref="X188:X191" si="147">(+F188-G188)/G188</f>
        <v>-0.71747211895910779</v>
      </c>
    </row>
    <row r="189" spans="1:24" x14ac:dyDescent="0.25">
      <c r="A189" s="5" t="s">
        <v>80</v>
      </c>
      <c r="B189" s="2">
        <v>240</v>
      </c>
      <c r="C189" s="2">
        <v>136</v>
      </c>
      <c r="D189" s="2">
        <v>351</v>
      </c>
      <c r="E189" s="2">
        <v>384</v>
      </c>
      <c r="F189" s="2">
        <v>400</v>
      </c>
      <c r="G189" s="2">
        <v>345</v>
      </c>
      <c r="J189" s="25">
        <f t="shared" si="143"/>
        <v>2.6515528156176461E-3</v>
      </c>
      <c r="K189" s="25">
        <f t="shared" si="143"/>
        <v>1.4561963295286636E-3</v>
      </c>
      <c r="L189" s="25">
        <f t="shared" si="143"/>
        <v>3.5159771611739956E-3</v>
      </c>
      <c r="M189" s="25">
        <f t="shared" si="143"/>
        <v>3.7851158206012813E-3</v>
      </c>
      <c r="N189" s="25">
        <f t="shared" si="143"/>
        <v>3.8661911251582724E-3</v>
      </c>
      <c r="O189" s="25">
        <f t="shared" si="143"/>
        <v>2.8727975218998769E-3</v>
      </c>
      <c r="P189" s="25"/>
      <c r="R189" s="25">
        <f t="shared" si="144"/>
        <v>-7.0009677432707695E-2</v>
      </c>
      <c r="S189" s="25">
        <f t="shared" si="145"/>
        <v>3.7130611934480209E-2</v>
      </c>
      <c r="T189" s="25">
        <f t="shared" ref="T189:T191" si="148">(+B189-C189)/C189</f>
        <v>0.76470588235294112</v>
      </c>
      <c r="U189" s="25">
        <f t="shared" ref="U189:U191" si="149">(+C189-D189)/D189</f>
        <v>-0.61253561253561251</v>
      </c>
      <c r="V189" s="25">
        <f t="shared" ref="V189:V191" si="150">(+D189-E189)/E189</f>
        <v>-8.59375E-2</v>
      </c>
      <c r="W189" s="25">
        <f t="shared" si="146"/>
        <v>-0.04</v>
      </c>
      <c r="X189" s="25">
        <f t="shared" si="147"/>
        <v>0.15942028985507245</v>
      </c>
    </row>
    <row r="190" spans="1:24" x14ac:dyDescent="0.25">
      <c r="A190" s="5" t="s">
        <v>20</v>
      </c>
      <c r="B190" s="2">
        <v>842</v>
      </c>
      <c r="C190" s="2">
        <v>716</v>
      </c>
      <c r="D190" s="2">
        <v>574</v>
      </c>
      <c r="E190" s="2">
        <v>618</v>
      </c>
      <c r="F190" s="2">
        <v>1221</v>
      </c>
      <c r="G190" s="2">
        <v>655</v>
      </c>
      <c r="J190" s="25">
        <f t="shared" si="143"/>
        <v>9.3025311281252424E-3</v>
      </c>
      <c r="K190" s="25">
        <f t="shared" si="143"/>
        <v>7.6664453819303164E-3</v>
      </c>
      <c r="L190" s="25">
        <f t="shared" si="143"/>
        <v>5.7497746168486425E-3</v>
      </c>
      <c r="M190" s="25">
        <f t="shared" si="143"/>
        <v>6.091670773780187E-3</v>
      </c>
      <c r="N190" s="25">
        <f t="shared" si="143"/>
        <v>1.1801548409545625E-2</v>
      </c>
      <c r="O190" s="25">
        <f t="shared" si="143"/>
        <v>5.4541518169403461E-3</v>
      </c>
      <c r="P190" s="25"/>
      <c r="R190" s="25">
        <f t="shared" si="144"/>
        <v>5.1511818464607374E-2</v>
      </c>
      <c r="S190" s="25">
        <f t="shared" si="145"/>
        <v>0.1444863291514033</v>
      </c>
      <c r="T190" s="25">
        <f t="shared" si="148"/>
        <v>0.17597765363128492</v>
      </c>
      <c r="U190" s="25">
        <f t="shared" si="149"/>
        <v>0.24738675958188153</v>
      </c>
      <c r="V190" s="25">
        <f t="shared" si="150"/>
        <v>-7.1197411003236247E-2</v>
      </c>
      <c r="W190" s="25">
        <f t="shared" si="146"/>
        <v>-0.49385749385749383</v>
      </c>
      <c r="X190" s="25">
        <f t="shared" si="147"/>
        <v>0.8641221374045801</v>
      </c>
    </row>
    <row r="191" spans="1:24" x14ac:dyDescent="0.25">
      <c r="A191" s="5" t="s">
        <v>81</v>
      </c>
      <c r="B191" s="2">
        <v>4</v>
      </c>
      <c r="C191" s="2">
        <v>11</v>
      </c>
      <c r="D191" s="2">
        <v>1863</v>
      </c>
      <c r="E191" s="2">
        <v>122</v>
      </c>
      <c r="F191" s="2">
        <v>1376</v>
      </c>
      <c r="G191" s="2">
        <v>353</v>
      </c>
      <c r="J191" s="26">
        <f t="shared" si="143"/>
        <v>4.4192546926960765E-5</v>
      </c>
      <c r="K191" s="26">
        <f t="shared" si="143"/>
        <v>1.1778058547658308E-4</v>
      </c>
      <c r="L191" s="26">
        <f t="shared" si="143"/>
        <v>1.8661724932385056E-2</v>
      </c>
      <c r="M191" s="26">
        <f t="shared" si="143"/>
        <v>1.2025628388368655E-3</v>
      </c>
      <c r="N191" s="26">
        <f t="shared" si="143"/>
        <v>1.3299697470544457E-2</v>
      </c>
      <c r="O191" s="26">
        <f t="shared" si="143"/>
        <v>2.9394131166105984E-3</v>
      </c>
      <c r="P191" s="33"/>
      <c r="Q191" s="30"/>
      <c r="R191" s="26">
        <f t="shared" si="144"/>
        <v>-0.59181498497391294</v>
      </c>
      <c r="S191" s="26">
        <f t="shared" si="145"/>
        <v>2.9253424819919362</v>
      </c>
      <c r="T191" s="26">
        <f t="shared" si="148"/>
        <v>-0.63636363636363635</v>
      </c>
      <c r="U191" s="26">
        <f t="shared" si="149"/>
        <v>-0.99409554482018248</v>
      </c>
      <c r="V191" s="26">
        <f t="shared" si="150"/>
        <v>14.270491803278688</v>
      </c>
      <c r="W191" s="26">
        <f t="shared" si="146"/>
        <v>-0.91133720930232553</v>
      </c>
      <c r="X191" s="26">
        <f t="shared" si="147"/>
        <v>2.8980169971671388</v>
      </c>
    </row>
    <row r="192" spans="1:24" ht="15.75" thickBot="1" x14ac:dyDescent="0.3">
      <c r="A192" s="2" t="s">
        <v>20</v>
      </c>
      <c r="B192" s="9">
        <f>SUM(B188:B191)</f>
        <v>1086</v>
      </c>
      <c r="C192" s="9">
        <f t="shared" ref="C192:G192" si="151">SUM(C188:C191)</f>
        <v>863</v>
      </c>
      <c r="D192" s="9">
        <f t="shared" si="151"/>
        <v>2788</v>
      </c>
      <c r="E192" s="9">
        <f t="shared" si="151"/>
        <v>1124</v>
      </c>
      <c r="F192" s="9">
        <f t="shared" si="151"/>
        <v>3149</v>
      </c>
      <c r="G192" s="9">
        <f t="shared" si="151"/>
        <v>1891</v>
      </c>
      <c r="H192" s="32"/>
      <c r="P192" s="30"/>
      <c r="Q192" s="30"/>
    </row>
    <row r="193" spans="1:24" ht="15.75" thickTop="1" x14ac:dyDescent="0.25">
      <c r="P193" s="30"/>
      <c r="Q193" s="30"/>
    </row>
    <row r="194" spans="1:24" x14ac:dyDescent="0.25">
      <c r="A194" s="5" t="s">
        <v>23</v>
      </c>
      <c r="B194" s="8">
        <v>30833</v>
      </c>
      <c r="C194" s="8">
        <v>31296</v>
      </c>
      <c r="D194" s="8">
        <v>33089</v>
      </c>
      <c r="E194" s="8">
        <v>35546</v>
      </c>
      <c r="F194" s="8">
        <v>36503</v>
      </c>
      <c r="G194" s="8">
        <v>44825</v>
      </c>
      <c r="H194" s="8"/>
      <c r="J194" s="25">
        <f t="shared" ref="J194:O195" si="152">+B194/B$21</f>
        <v>0.34064719984974534</v>
      </c>
      <c r="K194" s="25">
        <f t="shared" si="152"/>
        <v>0.33509647300683126</v>
      </c>
      <c r="L194" s="25">
        <f t="shared" si="152"/>
        <v>0.3314534709005309</v>
      </c>
      <c r="M194" s="25">
        <f t="shared" si="152"/>
        <v>0.35037949728930506</v>
      </c>
      <c r="N194" s="25">
        <f t="shared" si="152"/>
        <v>0.35281893660413105</v>
      </c>
      <c r="O194" s="25">
        <f t="shared" si="152"/>
        <v>0.37325550411351299</v>
      </c>
      <c r="P194" s="25"/>
      <c r="R194" s="25">
        <f t="shared" ref="R194:R195" si="153">RATE(5,0,-G194,B194)</f>
        <v>-7.2104439321893851E-2</v>
      </c>
      <c r="S194" s="25">
        <f t="shared" ref="S194:S195" si="154">AVERAGE(T194:X194)</f>
        <v>-6.999509320131285E-2</v>
      </c>
      <c r="T194" s="25">
        <f t="shared" ref="T194:T195" si="155">(+B194-C194)/C194</f>
        <v>-1.4794222903885481E-2</v>
      </c>
      <c r="U194" s="25">
        <f t="shared" ref="U194:U195" si="156">(+C194-D194)/D194</f>
        <v>-5.4187192118226604E-2</v>
      </c>
      <c r="V194" s="25">
        <f t="shared" ref="V194:V195" si="157">(+D194-E194)/E194</f>
        <v>-6.9121701457266635E-2</v>
      </c>
      <c r="W194" s="25">
        <f t="shared" ref="W194:W195" si="158">(+E194-F194)/F194</f>
        <v>-2.6217023258362327E-2</v>
      </c>
      <c r="X194" s="25">
        <f t="shared" ref="X194:X195" si="159">(+F194-G194)/G194</f>
        <v>-0.1856553262688232</v>
      </c>
    </row>
    <row r="195" spans="1:24" x14ac:dyDescent="0.25">
      <c r="A195" s="5" t="s">
        <v>83</v>
      </c>
      <c r="B195" s="2">
        <v>42649</v>
      </c>
      <c r="C195" s="2">
        <v>43542</v>
      </c>
      <c r="D195" s="2">
        <v>46667</v>
      </c>
      <c r="E195" s="2">
        <v>48652</v>
      </c>
      <c r="F195" s="2">
        <v>49468</v>
      </c>
      <c r="G195" s="2">
        <v>59432</v>
      </c>
      <c r="J195" s="25">
        <f t="shared" si="152"/>
        <v>0.47119198347198743</v>
      </c>
      <c r="K195" s="25">
        <f t="shared" si="152"/>
        <v>0.46621838662012549</v>
      </c>
      <c r="L195" s="25">
        <f t="shared" si="152"/>
        <v>0.46746468997295404</v>
      </c>
      <c r="M195" s="25">
        <f t="shared" si="152"/>
        <v>0.4795662888122228</v>
      </c>
      <c r="N195" s="25">
        <f t="shared" si="152"/>
        <v>0.47813185644832351</v>
      </c>
      <c r="O195" s="25">
        <f t="shared" si="152"/>
        <v>0.49488725310595211</v>
      </c>
      <c r="P195" s="25"/>
      <c r="R195" s="25">
        <f t="shared" si="153"/>
        <v>-6.4211505046658401E-2</v>
      </c>
      <c r="S195" s="25">
        <f t="shared" si="154"/>
        <v>-6.2484401974492662E-2</v>
      </c>
      <c r="T195" s="25">
        <f t="shared" si="155"/>
        <v>-2.050893390289835E-2</v>
      </c>
      <c r="U195" s="25">
        <f t="shared" si="156"/>
        <v>-6.6963807401375711E-2</v>
      </c>
      <c r="V195" s="25">
        <f t="shared" si="157"/>
        <v>-4.0799967113376634E-2</v>
      </c>
      <c r="W195" s="25">
        <f t="shared" si="158"/>
        <v>-1.6495512250343656E-2</v>
      </c>
      <c r="X195" s="25">
        <f t="shared" si="159"/>
        <v>-0.16765378920446897</v>
      </c>
    </row>
    <row r="196" spans="1:24" ht="15.75" thickBot="1" x14ac:dyDescent="0.3">
      <c r="A196" s="2" t="s">
        <v>310</v>
      </c>
      <c r="B196" s="9">
        <f>SUM(B194:B195)</f>
        <v>73482</v>
      </c>
      <c r="C196" s="9">
        <f t="shared" ref="C196:G196" si="160">SUM(C194:C195)</f>
        <v>74838</v>
      </c>
      <c r="D196" s="9">
        <f t="shared" si="160"/>
        <v>79756</v>
      </c>
      <c r="E196" s="9">
        <f t="shared" si="160"/>
        <v>84198</v>
      </c>
      <c r="F196" s="9">
        <f t="shared" si="160"/>
        <v>85971</v>
      </c>
      <c r="G196" s="9">
        <f t="shared" si="160"/>
        <v>104257</v>
      </c>
      <c r="H196" s="32"/>
    </row>
    <row r="197" spans="1:24" ht="15.75" thickTop="1" x14ac:dyDescent="0.25"/>
    <row r="198" spans="1:24" x14ac:dyDescent="0.25">
      <c r="A198" s="5" t="s">
        <v>311</v>
      </c>
      <c r="B198" s="2">
        <v>2394</v>
      </c>
      <c r="C198" s="2">
        <v>2756</v>
      </c>
      <c r="D198" s="2">
        <v>2376</v>
      </c>
      <c r="E198" s="2">
        <v>2100</v>
      </c>
      <c r="F198" s="2">
        <v>1337</v>
      </c>
      <c r="G198" s="2">
        <v>1573</v>
      </c>
    </row>
    <row r="199" spans="1:24" x14ac:dyDescent="0.25">
      <c r="A199" s="5" t="s">
        <v>312</v>
      </c>
      <c r="B199" s="2">
        <f>-B179</f>
        <v>-668</v>
      </c>
      <c r="C199" s="2">
        <f t="shared" ref="C199:G199" si="161">-C179</f>
        <v>-569</v>
      </c>
      <c r="D199" s="2">
        <f t="shared" si="161"/>
        <v>-562</v>
      </c>
      <c r="E199" s="2">
        <f t="shared" si="161"/>
        <v>-542</v>
      </c>
      <c r="F199" s="2">
        <f t="shared" si="161"/>
        <v>0</v>
      </c>
      <c r="G199" s="2">
        <f t="shared" si="161"/>
        <v>0</v>
      </c>
    </row>
    <row r="200" spans="1:24" ht="15.75" thickBot="1" x14ac:dyDescent="0.3">
      <c r="A200" s="2" t="s">
        <v>313</v>
      </c>
      <c r="B200" s="9">
        <f>SUM(B198:B199)</f>
        <v>1726</v>
      </c>
      <c r="C200" s="9">
        <f t="shared" ref="C200:G200" si="162">SUM(C198:C199)</f>
        <v>2187</v>
      </c>
      <c r="D200" s="9">
        <f t="shared" si="162"/>
        <v>1814</v>
      </c>
      <c r="E200" s="9">
        <f t="shared" si="162"/>
        <v>1558</v>
      </c>
      <c r="F200" s="9">
        <f t="shared" si="162"/>
        <v>1337</v>
      </c>
      <c r="G200" s="9">
        <f t="shared" si="162"/>
        <v>1573</v>
      </c>
    </row>
    <row r="201" spans="1:24" ht="15.75" thickTop="1" x14ac:dyDescent="0.25"/>
    <row r="202" spans="1:24" x14ac:dyDescent="0.25">
      <c r="A202" s="5" t="s">
        <v>86</v>
      </c>
      <c r="B202" s="8">
        <v>6</v>
      </c>
      <c r="C202" s="8">
        <v>14</v>
      </c>
      <c r="D202" s="8">
        <v>6</v>
      </c>
      <c r="E202" s="8">
        <v>6</v>
      </c>
      <c r="F202" s="8">
        <v>21</v>
      </c>
      <c r="G202" s="8">
        <v>462</v>
      </c>
      <c r="H202" s="8"/>
      <c r="J202" s="25">
        <f t="shared" ref="J202:O203" si="163">+B202/B$21</f>
        <v>6.6288820390441154E-5</v>
      </c>
      <c r="K202" s="25">
        <f t="shared" si="163"/>
        <v>1.4990256333383302E-4</v>
      </c>
      <c r="L202" s="25">
        <f t="shared" si="163"/>
        <v>6.0102173695281982E-5</v>
      </c>
      <c r="M202" s="25">
        <f t="shared" si="163"/>
        <v>5.914243469689502E-5</v>
      </c>
      <c r="N202" s="25">
        <f t="shared" si="163"/>
        <v>2.0297503407080928E-4</v>
      </c>
      <c r="O202" s="25">
        <f t="shared" si="163"/>
        <v>3.8470505945441828E-3</v>
      </c>
      <c r="P202" s="25"/>
      <c r="R202" s="25">
        <f>RATE(5,0,-G202,B202)</f>
        <v>-0.58052908347039545</v>
      </c>
      <c r="S202" s="25">
        <f t="shared" ref="S202:S217" si="164">AVERAGE(T202:X202)</f>
        <v>-0.1813852813852814</v>
      </c>
      <c r="T202" s="25">
        <f t="shared" ref="T202:X203" si="165">(+B202-C202)/C202</f>
        <v>-0.5714285714285714</v>
      </c>
      <c r="U202" s="25">
        <f t="shared" si="165"/>
        <v>1.3333333333333333</v>
      </c>
      <c r="V202" s="25">
        <f t="shared" si="165"/>
        <v>0</v>
      </c>
      <c r="W202" s="25">
        <f t="shared" si="165"/>
        <v>-0.7142857142857143</v>
      </c>
      <c r="X202" s="25">
        <f t="shared" si="165"/>
        <v>-0.95454545454545459</v>
      </c>
    </row>
    <row r="203" spans="1:24" x14ac:dyDescent="0.25">
      <c r="A203" s="5" t="s">
        <v>87</v>
      </c>
      <c r="B203" s="2">
        <v>831</v>
      </c>
      <c r="C203" s="2">
        <v>740</v>
      </c>
      <c r="D203" s="2">
        <v>230</v>
      </c>
      <c r="E203" s="2">
        <v>1022</v>
      </c>
      <c r="F203" s="2">
        <v>377</v>
      </c>
      <c r="G203" s="2">
        <v>2733</v>
      </c>
      <c r="J203" s="25">
        <f t="shared" si="163"/>
        <v>9.1810016240760992E-3</v>
      </c>
      <c r="K203" s="25">
        <f t="shared" si="163"/>
        <v>7.9234212047883164E-3</v>
      </c>
      <c r="L203" s="25">
        <f t="shared" si="163"/>
        <v>2.3039166583191427E-3</v>
      </c>
      <c r="M203" s="25">
        <f t="shared" si="163"/>
        <v>1.0073928043371119E-2</v>
      </c>
      <c r="N203" s="25">
        <f t="shared" si="163"/>
        <v>3.6438851354616717E-3</v>
      </c>
      <c r="O203" s="25">
        <f t="shared" si="163"/>
        <v>2.2757552543050327E-2</v>
      </c>
      <c r="P203" s="25"/>
      <c r="R203" s="25">
        <f>RATE(5,0,-G203,B203)</f>
        <v>-0.21188012748640178</v>
      </c>
      <c r="S203" s="25">
        <f t="shared" si="164"/>
        <v>0.48284643684593676</v>
      </c>
      <c r="T203" s="25">
        <f t="shared" si="165"/>
        <v>0.12297297297297298</v>
      </c>
      <c r="U203" s="25">
        <f t="shared" si="165"/>
        <v>2.2173913043478262</v>
      </c>
      <c r="V203" s="25">
        <f t="shared" si="165"/>
        <v>-0.77495107632093929</v>
      </c>
      <c r="W203" s="25">
        <f t="shared" si="165"/>
        <v>1.7108753315649867</v>
      </c>
      <c r="X203" s="25">
        <f t="shared" si="165"/>
        <v>-0.86205634833516287</v>
      </c>
    </row>
    <row r="204" spans="1:24" ht="15.75" thickBot="1" x14ac:dyDescent="0.3">
      <c r="A204" s="12" t="s">
        <v>314</v>
      </c>
      <c r="B204" s="9">
        <f>SUM(B202:B203)</f>
        <v>837</v>
      </c>
      <c r="C204" s="9">
        <f t="shared" ref="C204:G204" si="166">SUM(C202:C203)</f>
        <v>754</v>
      </c>
      <c r="D204" s="9">
        <f t="shared" si="166"/>
        <v>236</v>
      </c>
      <c r="E204" s="9">
        <f t="shared" si="166"/>
        <v>1028</v>
      </c>
      <c r="F204" s="9">
        <f t="shared" si="166"/>
        <v>398</v>
      </c>
      <c r="G204" s="9">
        <f t="shared" si="166"/>
        <v>3195</v>
      </c>
      <c r="H204" s="32"/>
      <c r="J204" s="25"/>
      <c r="K204" s="25"/>
      <c r="L204" s="25"/>
      <c r="M204" s="25"/>
      <c r="N204" s="25"/>
      <c r="O204" s="25"/>
      <c r="P204" s="25"/>
      <c r="R204" s="25"/>
      <c r="S204" s="25"/>
      <c r="T204" s="25"/>
      <c r="U204" s="25"/>
      <c r="V204" s="25"/>
      <c r="W204" s="25"/>
      <c r="X204" s="25"/>
    </row>
    <row r="205" spans="1:24" ht="15.75" thickTop="1" x14ac:dyDescent="0.25">
      <c r="A205" s="5"/>
      <c r="J205" s="25"/>
      <c r="K205" s="25"/>
      <c r="L205" s="25"/>
      <c r="M205" s="25"/>
      <c r="N205" s="25"/>
      <c r="O205" s="25"/>
      <c r="P205" s="25"/>
      <c r="R205" s="25"/>
      <c r="S205" s="25"/>
      <c r="T205" s="25"/>
      <c r="U205" s="25"/>
      <c r="V205" s="25"/>
      <c r="W205" s="25"/>
      <c r="X205" s="25"/>
    </row>
    <row r="206" spans="1:24" x14ac:dyDescent="0.25">
      <c r="A206" s="5" t="s">
        <v>89</v>
      </c>
      <c r="B206" s="8">
        <v>749</v>
      </c>
      <c r="C206" s="8">
        <v>804</v>
      </c>
      <c r="D206" s="8">
        <v>946</v>
      </c>
      <c r="E206" s="8">
        <v>647</v>
      </c>
      <c r="F206" s="8">
        <v>722</v>
      </c>
      <c r="G206" s="8">
        <v>689</v>
      </c>
      <c r="H206" s="8"/>
      <c r="J206" s="25">
        <f t="shared" ref="J206:O210" si="167">+B206/B$21</f>
        <v>8.2750544120734036E-3</v>
      </c>
      <c r="K206" s="25">
        <f t="shared" si="167"/>
        <v>8.6086900657429809E-3</v>
      </c>
      <c r="L206" s="25">
        <f t="shared" si="167"/>
        <v>9.4761093859561246E-3</v>
      </c>
      <c r="M206" s="25">
        <f t="shared" si="167"/>
        <v>6.3775258748151797E-3</v>
      </c>
      <c r="N206" s="25">
        <f t="shared" si="167"/>
        <v>6.9784749809106809E-3</v>
      </c>
      <c r="O206" s="25">
        <f t="shared" si="167"/>
        <v>5.7372680944609133E-3</v>
      </c>
      <c r="P206" s="25"/>
      <c r="R206" s="25">
        <f>RATE(5,0,-G206,B206)</f>
        <v>1.6839759291933765E-2</v>
      </c>
      <c r="S206" s="25">
        <f t="shared" si="164"/>
        <v>3.7527327422520657E-2</v>
      </c>
      <c r="T206" s="25">
        <f t="shared" ref="T206:X210" si="168">(+B206-C206)/C206</f>
        <v>-6.8407960199004969E-2</v>
      </c>
      <c r="U206" s="25">
        <f t="shared" si="168"/>
        <v>-0.15010570824524314</v>
      </c>
      <c r="V206" s="25">
        <f t="shared" si="168"/>
        <v>0.46213292117465227</v>
      </c>
      <c r="W206" s="25">
        <f t="shared" si="168"/>
        <v>-0.1038781163434903</v>
      </c>
      <c r="X206" s="25">
        <f t="shared" si="168"/>
        <v>4.7895500725689405E-2</v>
      </c>
    </row>
    <row r="207" spans="1:24" x14ac:dyDescent="0.25">
      <c r="A207" s="5" t="s">
        <v>90</v>
      </c>
      <c r="B207" s="2">
        <v>264</v>
      </c>
      <c r="C207" s="2">
        <v>268</v>
      </c>
      <c r="D207" s="2">
        <v>358</v>
      </c>
      <c r="E207" s="2">
        <v>384</v>
      </c>
      <c r="F207" s="2">
        <v>408</v>
      </c>
      <c r="G207" s="2">
        <v>419</v>
      </c>
      <c r="J207" s="25">
        <f t="shared" si="167"/>
        <v>2.9167080971794108E-3</v>
      </c>
      <c r="K207" s="25">
        <f t="shared" si="167"/>
        <v>2.8695633552476606E-3</v>
      </c>
      <c r="L207" s="25">
        <f t="shared" si="167"/>
        <v>3.5860963638184914E-3</v>
      </c>
      <c r="M207" s="25">
        <f t="shared" si="167"/>
        <v>3.7851158206012813E-3</v>
      </c>
      <c r="N207" s="25">
        <f t="shared" si="167"/>
        <v>3.9435149476614376E-3</v>
      </c>
      <c r="O207" s="25">
        <f t="shared" si="167"/>
        <v>3.4889917729740531E-3</v>
      </c>
      <c r="P207" s="25"/>
      <c r="R207" s="25">
        <f>RATE(5,0,-G207,B207)</f>
        <v>-8.8245362884069409E-2</v>
      </c>
      <c r="S207" s="25">
        <f t="shared" si="164"/>
        <v>-8.3821373443535047E-2</v>
      </c>
      <c r="T207" s="25">
        <f t="shared" si="168"/>
        <v>-1.4925373134328358E-2</v>
      </c>
      <c r="U207" s="25">
        <f t="shared" si="168"/>
        <v>-0.25139664804469275</v>
      </c>
      <c r="V207" s="25">
        <f t="shared" si="168"/>
        <v>-6.7708333333333329E-2</v>
      </c>
      <c r="W207" s="25">
        <f t="shared" si="168"/>
        <v>-5.8823529411764705E-2</v>
      </c>
      <c r="X207" s="25">
        <f t="shared" si="168"/>
        <v>-2.6252983293556086E-2</v>
      </c>
    </row>
    <row r="208" spans="1:24" x14ac:dyDescent="0.25">
      <c r="A208" s="5" t="s">
        <v>91</v>
      </c>
      <c r="B208" s="2">
        <v>136</v>
      </c>
      <c r="C208" s="2">
        <v>541</v>
      </c>
      <c r="D208" s="2">
        <v>0</v>
      </c>
      <c r="E208" s="2">
        <v>0</v>
      </c>
      <c r="F208" s="2">
        <v>0</v>
      </c>
      <c r="G208" s="2">
        <v>0</v>
      </c>
      <c r="J208" s="25">
        <f t="shared" si="167"/>
        <v>1.5025465955166661E-3</v>
      </c>
      <c r="K208" s="25">
        <f t="shared" si="167"/>
        <v>5.7926633402574038E-3</v>
      </c>
      <c r="L208" s="25">
        <f t="shared" si="167"/>
        <v>0</v>
      </c>
      <c r="M208" s="25">
        <f t="shared" si="167"/>
        <v>0</v>
      </c>
      <c r="N208" s="25">
        <f t="shared" si="167"/>
        <v>0</v>
      </c>
      <c r="O208" s="25">
        <f t="shared" si="167"/>
        <v>0</v>
      </c>
      <c r="P208" s="25"/>
      <c r="R208" s="25"/>
      <c r="S208" s="25">
        <f t="shared" si="164"/>
        <v>-0.74861367837338266</v>
      </c>
      <c r="T208" s="25">
        <f t="shared" si="168"/>
        <v>-0.74861367837338266</v>
      </c>
      <c r="U208" s="25"/>
      <c r="V208" s="25"/>
      <c r="W208" s="25"/>
      <c r="X208" s="25"/>
    </row>
    <row r="209" spans="1:24" x14ac:dyDescent="0.25">
      <c r="A209" s="5" t="s">
        <v>92</v>
      </c>
      <c r="B209" s="2">
        <v>0</v>
      </c>
      <c r="C209" s="2">
        <v>0</v>
      </c>
      <c r="D209" s="2">
        <v>17</v>
      </c>
      <c r="E209" s="2">
        <v>9</v>
      </c>
      <c r="F209" s="2">
        <v>55</v>
      </c>
      <c r="G209" s="2">
        <v>0</v>
      </c>
      <c r="J209" s="25">
        <f t="shared" si="167"/>
        <v>0</v>
      </c>
      <c r="K209" s="25">
        <f t="shared" si="167"/>
        <v>0</v>
      </c>
      <c r="L209" s="25">
        <f t="shared" si="167"/>
        <v>1.7028949213663226E-4</v>
      </c>
      <c r="M209" s="25">
        <f t="shared" si="167"/>
        <v>8.8713652045342527E-5</v>
      </c>
      <c r="N209" s="25">
        <f t="shared" si="167"/>
        <v>5.3160127970926241E-4</v>
      </c>
      <c r="O209" s="25">
        <f t="shared" si="167"/>
        <v>0</v>
      </c>
      <c r="P209" s="33"/>
      <c r="Q209" s="30"/>
      <c r="R209" s="25"/>
      <c r="S209" s="25">
        <f t="shared" si="164"/>
        <v>-0.31582491582491584</v>
      </c>
      <c r="T209" s="25"/>
      <c r="U209" s="25">
        <f t="shared" si="168"/>
        <v>-1</v>
      </c>
      <c r="V209" s="25">
        <f t="shared" si="168"/>
        <v>0.88888888888888884</v>
      </c>
      <c r="W209" s="25">
        <f t="shared" si="168"/>
        <v>-0.83636363636363631</v>
      </c>
      <c r="X209" s="25"/>
    </row>
    <row r="210" spans="1:24" x14ac:dyDescent="0.25">
      <c r="A210" s="5" t="s">
        <v>29</v>
      </c>
      <c r="B210" s="30">
        <v>2194</v>
      </c>
      <c r="C210" s="30">
        <v>1944</v>
      </c>
      <c r="D210" s="30">
        <v>2200</v>
      </c>
      <c r="E210" s="30">
        <v>1804</v>
      </c>
      <c r="F210" s="30">
        <v>1767</v>
      </c>
      <c r="G210" s="30">
        <v>1489</v>
      </c>
      <c r="H210" s="30"/>
      <c r="J210" s="26">
        <f t="shared" si="167"/>
        <v>2.4239611989437981E-2</v>
      </c>
      <c r="K210" s="26">
        <f t="shared" si="167"/>
        <v>2.0815041651497956E-2</v>
      </c>
      <c r="L210" s="26">
        <f t="shared" si="167"/>
        <v>2.2037463688270059E-2</v>
      </c>
      <c r="M210" s="26">
        <f t="shared" si="167"/>
        <v>1.7782158698866436E-2</v>
      </c>
      <c r="N210" s="26">
        <f t="shared" si="167"/>
        <v>1.7078899295386668E-2</v>
      </c>
      <c r="O210" s="26">
        <f t="shared" si="167"/>
        <v>1.2398827565533092E-2</v>
      </c>
      <c r="P210" s="33"/>
      <c r="Q210" s="30"/>
      <c r="R210" s="26">
        <f>RATE(5,0,-G210,B210)</f>
        <v>8.0608514301309969E-2</v>
      </c>
      <c r="S210" s="26">
        <f t="shared" si="164"/>
        <v>8.7878262416086469E-2</v>
      </c>
      <c r="T210" s="26">
        <f t="shared" si="168"/>
        <v>0.12860082304526749</v>
      </c>
      <c r="U210" s="26">
        <f t="shared" si="168"/>
        <v>-0.11636363636363636</v>
      </c>
      <c r="V210" s="26">
        <f t="shared" si="168"/>
        <v>0.21951219512195122</v>
      </c>
      <c r="W210" s="26">
        <f t="shared" si="168"/>
        <v>2.0939445387662705E-2</v>
      </c>
      <c r="X210" s="26">
        <f t="shared" si="168"/>
        <v>0.18670248488918736</v>
      </c>
    </row>
    <row r="211" spans="1:24" x14ac:dyDescent="0.25">
      <c r="A211" s="5" t="s">
        <v>315</v>
      </c>
      <c r="B211" s="30">
        <f>-B180</f>
        <v>-125</v>
      </c>
      <c r="C211" s="30">
        <f t="shared" ref="C211:G211" si="169">-C180</f>
        <v>-133</v>
      </c>
      <c r="D211" s="30">
        <f t="shared" si="169"/>
        <v>-135</v>
      </c>
      <c r="E211" s="30">
        <f t="shared" si="169"/>
        <v>-147</v>
      </c>
      <c r="F211" s="30">
        <f t="shared" si="169"/>
        <v>0</v>
      </c>
      <c r="G211" s="30">
        <f t="shared" si="169"/>
        <v>0</v>
      </c>
      <c r="H211" s="30"/>
      <c r="J211" s="33"/>
      <c r="K211" s="33"/>
      <c r="L211" s="33"/>
      <c r="M211" s="33"/>
      <c r="N211" s="33"/>
      <c r="O211" s="33"/>
      <c r="P211" s="33"/>
      <c r="Q211" s="30"/>
      <c r="R211" s="33"/>
      <c r="S211" s="33"/>
      <c r="T211" s="33"/>
      <c r="U211" s="33"/>
      <c r="V211" s="33"/>
      <c r="W211" s="33"/>
      <c r="X211" s="33"/>
    </row>
    <row r="212" spans="1:24" ht="15.75" thickBot="1" x14ac:dyDescent="0.3">
      <c r="A212" s="2" t="s">
        <v>29</v>
      </c>
      <c r="B212" s="9">
        <f>SUM(B206:B211)</f>
        <v>3218</v>
      </c>
      <c r="C212" s="9">
        <f t="shared" ref="C212:G212" si="170">SUM(C206:C211)</f>
        <v>3424</v>
      </c>
      <c r="D212" s="9">
        <f t="shared" si="170"/>
        <v>3386</v>
      </c>
      <c r="E212" s="9">
        <f t="shared" si="170"/>
        <v>2697</v>
      </c>
      <c r="F212" s="9">
        <f t="shared" si="170"/>
        <v>2952</v>
      </c>
      <c r="G212" s="9">
        <f t="shared" si="170"/>
        <v>2597</v>
      </c>
      <c r="H212" s="32"/>
      <c r="J212" s="25">
        <f>+B212/B$21</f>
        <v>3.5552904002739937E-2</v>
      </c>
      <c r="K212" s="25"/>
      <c r="L212" s="25"/>
      <c r="M212" s="25"/>
      <c r="N212" s="25"/>
      <c r="O212" s="25"/>
      <c r="P212" s="33"/>
      <c r="Q212" s="30"/>
      <c r="R212" s="25"/>
      <c r="S212" s="25"/>
      <c r="T212" s="25"/>
      <c r="U212" s="25"/>
      <c r="V212" s="25"/>
      <c r="W212" s="25"/>
      <c r="X212" s="25"/>
    </row>
    <row r="213" spans="1:24" ht="15.75" thickTop="1" x14ac:dyDescent="0.25">
      <c r="B213" s="30"/>
      <c r="C213" s="30"/>
      <c r="D213" s="30"/>
      <c r="E213" s="30"/>
      <c r="F213" s="30"/>
      <c r="G213" s="30"/>
      <c r="H213" s="30"/>
      <c r="J213" s="25"/>
      <c r="K213" s="25"/>
      <c r="L213" s="25"/>
      <c r="M213" s="25"/>
      <c r="N213" s="25"/>
      <c r="O213" s="25"/>
      <c r="P213" s="33"/>
      <c r="Q213" s="30"/>
      <c r="R213" s="25"/>
      <c r="S213" s="25"/>
      <c r="T213" s="25"/>
      <c r="U213" s="25"/>
      <c r="V213" s="25"/>
      <c r="W213" s="25"/>
      <c r="X213" s="25"/>
    </row>
    <row r="214" spans="1:24" x14ac:dyDescent="0.25">
      <c r="A214" s="5" t="s">
        <v>93</v>
      </c>
      <c r="B214" s="8">
        <v>10152</v>
      </c>
      <c r="C214" s="8">
        <v>10536</v>
      </c>
      <c r="D214" s="8">
        <v>11462</v>
      </c>
      <c r="E214" s="8">
        <v>11878</v>
      </c>
      <c r="F214" s="8">
        <v>12202</v>
      </c>
      <c r="G214" s="8">
        <v>14039</v>
      </c>
      <c r="H214" s="8"/>
      <c r="J214" s="25">
        <f t="shared" ref="J214:O217" si="171">+B214/B$21</f>
        <v>0.11216068410062643</v>
      </c>
      <c r="K214" s="25">
        <f t="shared" si="171"/>
        <v>0.11281238623466175</v>
      </c>
      <c r="L214" s="25">
        <f t="shared" si="171"/>
        <v>0.11481518581588701</v>
      </c>
      <c r="M214" s="25">
        <f t="shared" si="171"/>
        <v>0.11708230655495318</v>
      </c>
      <c r="N214" s="25">
        <f t="shared" si="171"/>
        <v>0.11793816027295309</v>
      </c>
      <c r="O214" s="25">
        <f t="shared" si="171"/>
        <v>0.11690204176797789</v>
      </c>
      <c r="P214" s="25"/>
      <c r="R214" s="25">
        <f>RATE(5,0,-G214,B214)</f>
        <v>-6.2776678206707098E-2</v>
      </c>
      <c r="S214" s="25">
        <f t="shared" si="164"/>
        <v>-6.1932138628004139E-2</v>
      </c>
      <c r="T214" s="25">
        <f t="shared" ref="T214:X217" si="172">(+B214-C214)/C214</f>
        <v>-3.644646924829157E-2</v>
      </c>
      <c r="U214" s="25">
        <f t="shared" si="172"/>
        <v>-8.0788693072762166E-2</v>
      </c>
      <c r="V214" s="25">
        <f t="shared" si="172"/>
        <v>-3.5022731099511699E-2</v>
      </c>
      <c r="W214" s="25">
        <f t="shared" si="172"/>
        <v>-2.6553024094410752E-2</v>
      </c>
      <c r="X214" s="25">
        <f t="shared" si="172"/>
        <v>-0.13084977562504452</v>
      </c>
    </row>
    <row r="215" spans="1:24" x14ac:dyDescent="0.25">
      <c r="A215" s="5" t="s">
        <v>94</v>
      </c>
      <c r="B215" s="2">
        <v>144</v>
      </c>
      <c r="C215" s="2">
        <v>205</v>
      </c>
      <c r="D215" s="2">
        <v>243</v>
      </c>
      <c r="E215" s="2">
        <v>273</v>
      </c>
      <c r="F215" s="2">
        <v>306</v>
      </c>
      <c r="G215" s="2">
        <v>427</v>
      </c>
      <c r="J215" s="25">
        <f t="shared" si="171"/>
        <v>1.5909316893705876E-3</v>
      </c>
      <c r="K215" s="25">
        <f t="shared" si="171"/>
        <v>2.1950018202454118E-3</v>
      </c>
      <c r="L215" s="25">
        <f t="shared" si="171"/>
        <v>2.43413803465892E-3</v>
      </c>
      <c r="M215" s="25">
        <f t="shared" si="171"/>
        <v>2.6909807787087233E-3</v>
      </c>
      <c r="N215" s="25">
        <f t="shared" si="171"/>
        <v>2.9576362107460782E-3</v>
      </c>
      <c r="O215" s="25">
        <f t="shared" si="171"/>
        <v>3.5556073676847751E-3</v>
      </c>
      <c r="P215" s="25"/>
      <c r="R215" s="25">
        <f>RATE(5,0,-G215,B215)</f>
        <v>-0.19538722547686657</v>
      </c>
      <c r="S215" s="25">
        <f t="shared" si="164"/>
        <v>-0.19100903778347836</v>
      </c>
      <c r="T215" s="25">
        <f t="shared" si="172"/>
        <v>-0.29756097560975608</v>
      </c>
      <c r="U215" s="25">
        <f t="shared" si="172"/>
        <v>-0.15637860082304528</v>
      </c>
      <c r="V215" s="25">
        <f t="shared" si="172"/>
        <v>-0.10989010989010989</v>
      </c>
      <c r="W215" s="25">
        <f t="shared" si="172"/>
        <v>-0.10784313725490197</v>
      </c>
      <c r="X215" s="25">
        <f t="shared" si="172"/>
        <v>-0.28337236533957844</v>
      </c>
    </row>
    <row r="216" spans="1:24" x14ac:dyDescent="0.25">
      <c r="A216" s="5" t="s">
        <v>95</v>
      </c>
      <c r="B216" s="2">
        <v>1477</v>
      </c>
      <c r="C216" s="2">
        <v>1534</v>
      </c>
      <c r="D216" s="2">
        <v>0</v>
      </c>
      <c r="E216" s="2">
        <v>0</v>
      </c>
      <c r="F216" s="2">
        <v>0</v>
      </c>
      <c r="G216" s="2">
        <v>0</v>
      </c>
      <c r="J216" s="25">
        <f t="shared" si="171"/>
        <v>1.6318097952780265E-2</v>
      </c>
      <c r="K216" s="25">
        <f t="shared" si="171"/>
        <v>1.6425038011007132E-2</v>
      </c>
      <c r="L216" s="25">
        <f t="shared" si="171"/>
        <v>0</v>
      </c>
      <c r="M216" s="25">
        <f t="shared" si="171"/>
        <v>0</v>
      </c>
      <c r="N216" s="25">
        <f t="shared" si="171"/>
        <v>0</v>
      </c>
      <c r="O216" s="25">
        <f t="shared" si="171"/>
        <v>0</v>
      </c>
      <c r="P216" s="25"/>
      <c r="R216" s="25"/>
      <c r="S216" s="25">
        <f t="shared" si="164"/>
        <v>-3.7157757496740544E-2</v>
      </c>
      <c r="T216" s="25">
        <f t="shared" si="172"/>
        <v>-3.7157757496740544E-2</v>
      </c>
      <c r="U216" s="25"/>
      <c r="V216" s="25"/>
      <c r="W216" s="25"/>
      <c r="X216" s="25"/>
    </row>
    <row r="217" spans="1:24" x14ac:dyDescent="0.25">
      <c r="A217" s="5" t="s">
        <v>96</v>
      </c>
      <c r="B217" s="2">
        <v>1609</v>
      </c>
      <c r="C217" s="2">
        <v>1542</v>
      </c>
      <c r="D217" s="2">
        <v>1751</v>
      </c>
      <c r="E217" s="2">
        <v>1459</v>
      </c>
      <c r="F217" s="2">
        <v>902</v>
      </c>
      <c r="G217" s="2">
        <v>1088</v>
      </c>
      <c r="J217" s="26">
        <f t="shared" si="171"/>
        <v>1.7776452001369968E-2</v>
      </c>
      <c r="K217" s="26">
        <f t="shared" si="171"/>
        <v>1.6510696618626464E-2</v>
      </c>
      <c r="L217" s="26">
        <f t="shared" si="171"/>
        <v>1.7539817690073123E-2</v>
      </c>
      <c r="M217" s="26">
        <f t="shared" si="171"/>
        <v>1.4381468703794973E-2</v>
      </c>
      <c r="N217" s="26">
        <f t="shared" si="171"/>
        <v>8.7182609872319041E-3</v>
      </c>
      <c r="O217" s="26">
        <f t="shared" si="171"/>
        <v>9.0597208806581613E-3</v>
      </c>
      <c r="P217" s="33"/>
      <c r="Q217" s="30"/>
      <c r="R217" s="26">
        <f>RATE(5,0,-G217,B217)</f>
        <v>8.1397670613528067E-2</v>
      </c>
      <c r="S217" s="26">
        <f t="shared" si="164"/>
        <v>0.11415750537922809</v>
      </c>
      <c r="T217" s="26">
        <f t="shared" si="172"/>
        <v>4.3450064850843059E-2</v>
      </c>
      <c r="U217" s="26">
        <f t="shared" si="172"/>
        <v>-0.11936036550542548</v>
      </c>
      <c r="V217" s="26">
        <f t="shared" si="172"/>
        <v>0.20013708019191226</v>
      </c>
      <c r="W217" s="26">
        <f t="shared" si="172"/>
        <v>0.6175166297117517</v>
      </c>
      <c r="X217" s="26">
        <f t="shared" si="172"/>
        <v>-0.17095588235294118</v>
      </c>
    </row>
    <row r="218" spans="1:24" x14ac:dyDescent="0.25">
      <c r="A218" s="5" t="s">
        <v>316</v>
      </c>
      <c r="B218" s="2">
        <f>-B181</f>
        <v>-585</v>
      </c>
      <c r="C218" s="2">
        <f t="shared" ref="C218:G218" si="173">-C181</f>
        <v>-484</v>
      </c>
      <c r="D218" s="2">
        <f t="shared" si="173"/>
        <v>-475</v>
      </c>
      <c r="E218" s="2">
        <f t="shared" si="173"/>
        <v>-454</v>
      </c>
      <c r="F218" s="2">
        <f t="shared" si="173"/>
        <v>0</v>
      </c>
      <c r="G218" s="2">
        <f t="shared" si="173"/>
        <v>0</v>
      </c>
      <c r="J218" s="33"/>
      <c r="K218" s="33"/>
      <c r="L218" s="33"/>
      <c r="M218" s="33"/>
      <c r="N218" s="33"/>
      <c r="O218" s="33"/>
      <c r="P218" s="33"/>
      <c r="Q218" s="30"/>
      <c r="R218" s="33"/>
      <c r="S218" s="33"/>
      <c r="T218" s="33"/>
      <c r="U218" s="33"/>
      <c r="V218" s="33"/>
      <c r="W218" s="33"/>
      <c r="X218" s="33"/>
    </row>
    <row r="219" spans="1:24" ht="15.75" thickBot="1" x14ac:dyDescent="0.3">
      <c r="A219" s="2" t="s">
        <v>317</v>
      </c>
      <c r="B219" s="9">
        <f>SUM(B214:B218)</f>
        <v>12797</v>
      </c>
      <c r="C219" s="9">
        <f t="shared" ref="C219:G219" si="174">SUM(C214:C218)</f>
        <v>13333</v>
      </c>
      <c r="D219" s="9">
        <f t="shared" si="174"/>
        <v>12981</v>
      </c>
      <c r="E219" s="9">
        <f t="shared" si="174"/>
        <v>13156</v>
      </c>
      <c r="F219" s="9">
        <f t="shared" si="174"/>
        <v>13410</v>
      </c>
      <c r="G219" s="9">
        <f t="shared" si="174"/>
        <v>15554</v>
      </c>
      <c r="H219" s="32"/>
      <c r="P219" s="30"/>
      <c r="Q219" s="30"/>
    </row>
    <row r="220" spans="1:24" ht="15.75" thickTop="1" x14ac:dyDescent="0.25">
      <c r="Q220" s="30"/>
    </row>
    <row r="221" spans="1:24" x14ac:dyDescent="0.25">
      <c r="A221" s="5" t="s">
        <v>100</v>
      </c>
      <c r="B221" s="8">
        <v>12</v>
      </c>
      <c r="C221" s="8">
        <v>12</v>
      </c>
      <c r="D221" s="8">
        <v>12</v>
      </c>
      <c r="E221" s="8">
        <v>12</v>
      </c>
      <c r="F221" s="8">
        <v>12</v>
      </c>
      <c r="G221" s="8">
        <v>12</v>
      </c>
      <c r="H221" s="8"/>
      <c r="J221" s="25">
        <f t="shared" ref="J221:J227" si="175">+B221/B$21</f>
        <v>1.3257764078088231E-4</v>
      </c>
      <c r="K221" s="25">
        <f t="shared" ref="K221:K227" si="176">+C221/C$21</f>
        <v>1.2848791142899973E-4</v>
      </c>
      <c r="L221" s="25">
        <f t="shared" ref="L221:L227" si="177">+D221/D$21</f>
        <v>1.2020434739056396E-4</v>
      </c>
      <c r="M221" s="25">
        <f t="shared" ref="M221:M227" si="178">+E221/E$21</f>
        <v>1.1828486939379004E-4</v>
      </c>
      <c r="N221" s="25">
        <f t="shared" ref="N221:N227" si="179">+F221/F$21</f>
        <v>1.1598573375474817E-4</v>
      </c>
      <c r="O221" s="25">
        <f t="shared" ref="O221:O227" si="180">+G221/G$21</f>
        <v>9.9923392066082669E-5</v>
      </c>
      <c r="P221" s="25"/>
      <c r="R221" s="25">
        <f t="shared" ref="R221:R227" si="181">RATE(5,0,-G221,B221)</f>
        <v>1.1505115232739206E-16</v>
      </c>
      <c r="S221" s="25">
        <f t="shared" ref="S221:S227" si="182">AVERAGE(T221:X221)</f>
        <v>0</v>
      </c>
      <c r="T221" s="25">
        <f t="shared" ref="T221:T227" si="183">(+B221-C221)/C221</f>
        <v>0</v>
      </c>
      <c r="U221" s="25">
        <f t="shared" ref="U221:U227" si="184">(+C221-D221)/D221</f>
        <v>0</v>
      </c>
      <c r="V221" s="25">
        <f t="shared" ref="V221:V227" si="185">(+D221-E221)/E221</f>
        <v>0</v>
      </c>
      <c r="W221" s="25">
        <f t="shared" ref="W221:W227" si="186">(+E221-F221)/F221</f>
        <v>0</v>
      </c>
      <c r="X221" s="25">
        <f t="shared" ref="X221:X227" si="187">(+F221-G221)/G221</f>
        <v>0</v>
      </c>
    </row>
    <row r="222" spans="1:24" x14ac:dyDescent="0.25">
      <c r="A222" s="5" t="s">
        <v>101</v>
      </c>
      <c r="B222" s="2">
        <v>51834</v>
      </c>
      <c r="C222" s="2">
        <v>53379</v>
      </c>
      <c r="D222" s="2">
        <v>55096</v>
      </c>
      <c r="E222" s="2">
        <v>56828</v>
      </c>
      <c r="F222" s="2">
        <v>58723</v>
      </c>
      <c r="G222" s="2">
        <v>58634</v>
      </c>
      <c r="J222" s="25">
        <f t="shared" si="175"/>
        <v>0.57266911935302112</v>
      </c>
      <c r="K222" s="25">
        <f t="shared" si="176"/>
        <v>0.57154635201404802</v>
      </c>
      <c r="L222" s="25">
        <f t="shared" si="177"/>
        <v>0.55189822698587598</v>
      </c>
      <c r="M222" s="25">
        <f t="shared" si="178"/>
        <v>0.56015771315919172</v>
      </c>
      <c r="N222" s="25">
        <f t="shared" si="179"/>
        <v>0.56758585360667302</v>
      </c>
      <c r="O222" s="25">
        <f t="shared" si="180"/>
        <v>0.48824234753355761</v>
      </c>
      <c r="P222" s="25"/>
      <c r="R222" s="25">
        <f t="shared" si="181"/>
        <v>-2.4352265709732968E-2</v>
      </c>
      <c r="S222" s="25">
        <f t="shared" si="182"/>
        <v>-2.4267589205706836E-2</v>
      </c>
      <c r="T222" s="25">
        <f t="shared" si="183"/>
        <v>-2.8943966728488733E-2</v>
      </c>
      <c r="U222" s="25">
        <f t="shared" si="184"/>
        <v>-3.1163786844780019E-2</v>
      </c>
      <c r="V222" s="25">
        <f t="shared" si="185"/>
        <v>-3.0477933413106215E-2</v>
      </c>
      <c r="W222" s="25">
        <f t="shared" si="186"/>
        <v>-3.2270149685813057E-2</v>
      </c>
      <c r="X222" s="25">
        <f t="shared" si="187"/>
        <v>1.5178906436538527E-3</v>
      </c>
    </row>
    <row r="223" spans="1:24" x14ac:dyDescent="0.25">
      <c r="A223" s="5" t="s">
        <v>102</v>
      </c>
      <c r="B223" s="2">
        <v>489</v>
      </c>
      <c r="C223" s="2">
        <v>-1682</v>
      </c>
      <c r="D223" s="2">
        <v>-2694</v>
      </c>
      <c r="E223" s="2">
        <v>-3060</v>
      </c>
      <c r="F223" s="2">
        <v>-4853</v>
      </c>
      <c r="G223" s="2">
        <v>8495</v>
      </c>
      <c r="J223" s="25">
        <f t="shared" si="175"/>
        <v>5.4025388618209541E-3</v>
      </c>
      <c r="K223" s="25">
        <f t="shared" si="176"/>
        <v>-1.8009722251964795E-2</v>
      </c>
      <c r="L223" s="25">
        <f t="shared" si="177"/>
        <v>-2.6985875989181608E-2</v>
      </c>
      <c r="M223" s="25">
        <f t="shared" si="178"/>
        <v>-3.0162641695416461E-2</v>
      </c>
      <c r="N223" s="25">
        <f t="shared" si="179"/>
        <v>-4.6906563825982739E-2</v>
      </c>
      <c r="O223" s="25">
        <f t="shared" si="180"/>
        <v>7.0737434633447685E-2</v>
      </c>
      <c r="P223" s="25"/>
      <c r="R223" s="25">
        <f t="shared" si="181"/>
        <v>-0.43502517645517697</v>
      </c>
      <c r="S223" s="25">
        <f t="shared" si="182"/>
        <v>-0.7453444344093002</v>
      </c>
      <c r="T223" s="25">
        <f t="shared" si="183"/>
        <v>-1.2907253269916765</v>
      </c>
      <c r="U223" s="25">
        <f t="shared" si="184"/>
        <v>-0.37564959168522644</v>
      </c>
      <c r="V223" s="25">
        <f t="shared" si="185"/>
        <v>-0.11960784313725491</v>
      </c>
      <c r="W223" s="25">
        <f t="shared" si="186"/>
        <v>-0.36946218833711109</v>
      </c>
      <c r="X223" s="25">
        <f t="shared" si="187"/>
        <v>-1.5712772218952324</v>
      </c>
    </row>
    <row r="224" spans="1:24" x14ac:dyDescent="0.25">
      <c r="A224" s="5" t="s">
        <v>103</v>
      </c>
      <c r="B224" s="2">
        <v>-2810</v>
      </c>
      <c r="C224" s="2">
        <v>-1824</v>
      </c>
      <c r="D224" s="2">
        <v>-1967</v>
      </c>
      <c r="E224" s="2">
        <v>-1886</v>
      </c>
      <c r="F224" s="2">
        <v>-1943</v>
      </c>
      <c r="G224" s="2">
        <v>-1054</v>
      </c>
      <c r="J224" s="25">
        <f t="shared" si="175"/>
        <v>-3.104526421618994E-2</v>
      </c>
      <c r="K224" s="25">
        <f t="shared" si="176"/>
        <v>-1.9530162537207959E-2</v>
      </c>
      <c r="L224" s="25">
        <f t="shared" si="177"/>
        <v>-1.9703495943103274E-2</v>
      </c>
      <c r="M224" s="25">
        <f t="shared" si="178"/>
        <v>-1.8590438639724E-2</v>
      </c>
      <c r="N224" s="25">
        <f t="shared" si="179"/>
        <v>-1.8780023390456306E-2</v>
      </c>
      <c r="O224" s="25">
        <f t="shared" si="180"/>
        <v>-8.776604603137594E-3</v>
      </c>
      <c r="P224" s="25"/>
      <c r="R224" s="25">
        <f t="shared" si="181"/>
        <v>0.21667095873235825</v>
      </c>
      <c r="S224" s="25">
        <f t="shared" si="182"/>
        <v>0.26498722067421782</v>
      </c>
      <c r="T224" s="25">
        <f t="shared" si="183"/>
        <v>0.54057017543859653</v>
      </c>
      <c r="U224" s="25">
        <f t="shared" si="184"/>
        <v>-7.2699542450432128E-2</v>
      </c>
      <c r="V224" s="25">
        <f t="shared" si="185"/>
        <v>4.2948038176033931E-2</v>
      </c>
      <c r="W224" s="25">
        <f t="shared" si="186"/>
        <v>-2.9336078229541946E-2</v>
      </c>
      <c r="X224" s="25">
        <f t="shared" si="187"/>
        <v>0.84345351043643269</v>
      </c>
    </row>
    <row r="225" spans="1:24" x14ac:dyDescent="0.25">
      <c r="A225" s="5" t="s">
        <v>104</v>
      </c>
      <c r="B225" s="2">
        <v>-847</v>
      </c>
      <c r="C225" s="2">
        <v>-587</v>
      </c>
      <c r="D225" s="2">
        <v>-344</v>
      </c>
      <c r="E225" s="2">
        <v>-271</v>
      </c>
      <c r="F225" s="2">
        <v>-282</v>
      </c>
      <c r="G225" s="2">
        <v>-224</v>
      </c>
      <c r="J225" s="25">
        <f t="shared" si="175"/>
        <v>-9.357771811783943E-3</v>
      </c>
      <c r="K225" s="25">
        <f t="shared" si="176"/>
        <v>-6.28520033406857E-3</v>
      </c>
      <c r="L225" s="25">
        <f t="shared" si="177"/>
        <v>-3.4458579585295002E-3</v>
      </c>
      <c r="M225" s="25">
        <f t="shared" si="178"/>
        <v>-2.6712666338097584E-3</v>
      </c>
      <c r="N225" s="25">
        <f t="shared" si="179"/>
        <v>-2.7256647432365817E-3</v>
      </c>
      <c r="O225" s="25">
        <f t="shared" si="180"/>
        <v>-1.8652366519002097E-3</v>
      </c>
      <c r="P225" s="25"/>
      <c r="Q225" s="30"/>
      <c r="R225" s="25">
        <f t="shared" si="181"/>
        <v>0.30474931763943724</v>
      </c>
      <c r="S225" s="25">
        <f t="shared" si="182"/>
        <v>0.32772393502322256</v>
      </c>
      <c r="T225" s="25">
        <f t="shared" si="183"/>
        <v>0.44293015332197616</v>
      </c>
      <c r="U225" s="25">
        <f t="shared" si="184"/>
        <v>0.70639534883720934</v>
      </c>
      <c r="V225" s="25">
        <f t="shared" si="185"/>
        <v>0.26937269372693728</v>
      </c>
      <c r="W225" s="25">
        <f t="shared" si="186"/>
        <v>-3.9007092198581561E-2</v>
      </c>
      <c r="X225" s="25">
        <f t="shared" si="187"/>
        <v>0.25892857142857145</v>
      </c>
    </row>
    <row r="226" spans="1:24" x14ac:dyDescent="0.25">
      <c r="A226" s="5" t="s">
        <v>105</v>
      </c>
      <c r="B226" s="2">
        <v>152</v>
      </c>
      <c r="C226" s="2">
        <v>150</v>
      </c>
      <c r="D226" s="2">
        <v>140</v>
      </c>
      <c r="E226" s="2">
        <v>126</v>
      </c>
      <c r="F226" s="2">
        <v>118</v>
      </c>
      <c r="G226" s="2">
        <v>207</v>
      </c>
      <c r="J226" s="26">
        <f t="shared" si="175"/>
        <v>1.6793167832245093E-3</v>
      </c>
      <c r="K226" s="26">
        <f t="shared" si="176"/>
        <v>1.6060988928624964E-3</v>
      </c>
      <c r="L226" s="26">
        <f t="shared" si="177"/>
        <v>1.4023840528899129E-3</v>
      </c>
      <c r="M226" s="26">
        <f t="shared" si="178"/>
        <v>1.2419911286347955E-3</v>
      </c>
      <c r="N226" s="26">
        <f t="shared" si="179"/>
        <v>1.1405263819216902E-3</v>
      </c>
      <c r="O226" s="26">
        <f t="shared" si="180"/>
        <v>1.7236785131399261E-3</v>
      </c>
      <c r="P226" s="33"/>
      <c r="Q226" s="30"/>
      <c r="R226" s="26">
        <f t="shared" si="181"/>
        <v>-5.9898710260960809E-2</v>
      </c>
      <c r="S226" s="26">
        <f t="shared" si="182"/>
        <v>-3.3256412955749735E-2</v>
      </c>
      <c r="T226" s="26">
        <f t="shared" si="183"/>
        <v>1.3333333333333334E-2</v>
      </c>
      <c r="U226" s="26">
        <f t="shared" si="184"/>
        <v>7.1428571428571425E-2</v>
      </c>
      <c r="V226" s="26">
        <f t="shared" si="185"/>
        <v>0.1111111111111111</v>
      </c>
      <c r="W226" s="26">
        <f t="shared" si="186"/>
        <v>6.7796610169491525E-2</v>
      </c>
      <c r="X226" s="26">
        <f t="shared" si="187"/>
        <v>-0.42995169082125606</v>
      </c>
    </row>
    <row r="227" spans="1:24" ht="15.75" thickBot="1" x14ac:dyDescent="0.3">
      <c r="A227" s="2" t="s">
        <v>106</v>
      </c>
      <c r="B227" s="9">
        <f>SUM(B221:B226)</f>
        <v>48830</v>
      </c>
      <c r="C227" s="9">
        <f t="shared" ref="C227" si="188">SUM(C221:C226)</f>
        <v>49448</v>
      </c>
      <c r="D227" s="9">
        <f t="shared" ref="D227" si="189">SUM(D221:D226)</f>
        <v>50243</v>
      </c>
      <c r="E227" s="9">
        <f t="shared" ref="E227" si="190">SUM(E221:E226)</f>
        <v>51749</v>
      </c>
      <c r="F227" s="9">
        <f t="shared" ref="F227" si="191">SUM(F221:F226)</f>
        <v>51775</v>
      </c>
      <c r="G227" s="9">
        <f t="shared" ref="G227" si="192">SUM(G221:G226)</f>
        <v>66070</v>
      </c>
      <c r="H227" s="32"/>
      <c r="J227" s="25">
        <f t="shared" si="175"/>
        <v>0.53948051661087359</v>
      </c>
      <c r="K227" s="25">
        <f t="shared" si="176"/>
        <v>0.52945585369509818</v>
      </c>
      <c r="L227" s="25">
        <f t="shared" si="177"/>
        <v>0.50328558549534208</v>
      </c>
      <c r="M227" s="25">
        <f t="shared" si="178"/>
        <v>0.51009364218827014</v>
      </c>
      <c r="N227" s="25">
        <f t="shared" si="179"/>
        <v>0.50043011376267388</v>
      </c>
      <c r="O227" s="25">
        <f t="shared" si="180"/>
        <v>0.55016154281717355</v>
      </c>
      <c r="P227" s="33"/>
      <c r="Q227" s="30"/>
      <c r="R227" s="25">
        <f t="shared" si="181"/>
        <v>-5.8681739699202047E-2</v>
      </c>
      <c r="S227" s="25">
        <f t="shared" si="182"/>
        <v>-5.4857339349412525E-2</v>
      </c>
      <c r="T227" s="25">
        <f t="shared" si="183"/>
        <v>-1.2497977673515612E-2</v>
      </c>
      <c r="U227" s="25">
        <f t="shared" si="184"/>
        <v>-1.5823099735286509E-2</v>
      </c>
      <c r="V227" s="25">
        <f t="shared" si="185"/>
        <v>-2.9102011633075034E-2</v>
      </c>
      <c r="W227" s="25">
        <f t="shared" si="186"/>
        <v>-5.0217286335103818E-4</v>
      </c>
      <c r="X227" s="25">
        <f t="shared" si="187"/>
        <v>-0.21636143484183443</v>
      </c>
    </row>
    <row r="228" spans="1:24" ht="15.75" thickTop="1" x14ac:dyDescent="0.25">
      <c r="P228" s="30"/>
      <c r="Q228" s="30"/>
    </row>
    <row r="229" spans="1:24" x14ac:dyDescent="0.25">
      <c r="A229" s="5" t="s">
        <v>318</v>
      </c>
      <c r="B229" s="8">
        <v>3575</v>
      </c>
      <c r="C229" s="8">
        <v>3588</v>
      </c>
      <c r="D229" s="8">
        <v>3650</v>
      </c>
      <c r="E229" s="8">
        <v>3178</v>
      </c>
      <c r="F229" s="8">
        <v>3190</v>
      </c>
      <c r="G229" s="8">
        <v>2927</v>
      </c>
      <c r="J229" s="25">
        <f t="shared" ref="J229" si="193">+B229/B$60</f>
        <v>0.13498206531999246</v>
      </c>
      <c r="K229" s="25">
        <f>+C229/C$60</f>
        <v>0.13777743644881346</v>
      </c>
      <c r="L229" s="25">
        <f>+D229/D$60</f>
        <v>0.13939278212717204</v>
      </c>
      <c r="M229" s="25">
        <f>+E229/E$60</f>
        <v>0.12723705809344596</v>
      </c>
      <c r="N229" s="25">
        <f>+F229/F$60</f>
        <v>0.12144053601340034</v>
      </c>
      <c r="O229" s="25">
        <f>+G229/G$60</f>
        <v>0.11224881116735695</v>
      </c>
      <c r="P229" s="25"/>
      <c r="R229" s="25">
        <f t="shared" ref="R229" si="194">RATE(5,0,-G229,B229)</f>
        <v>4.080810314999915E-2</v>
      </c>
      <c r="S229" s="25">
        <f t="shared" ref="S229" si="195">AVERAGE(T229:X229)</f>
        <v>4.2800585816641215E-2</v>
      </c>
      <c r="T229" s="25">
        <f>(+B229-C229)/C229</f>
        <v>-3.6231884057971015E-3</v>
      </c>
      <c r="U229" s="25">
        <f>(+C229-D229)/D229</f>
        <v>-1.6986301369863014E-2</v>
      </c>
      <c r="V229" s="25">
        <f>(+D229-E229)/E229</f>
        <v>0.1485210824417873</v>
      </c>
      <c r="W229" s="25">
        <f>(+E229-F229)/F229</f>
        <v>-3.761755485893417E-3</v>
      </c>
      <c r="X229" s="25">
        <f>(+F229-G229)/G229</f>
        <v>8.9853091902972332E-2</v>
      </c>
    </row>
    <row r="230" spans="1:24" x14ac:dyDescent="0.25">
      <c r="A230" s="5" t="s">
        <v>319</v>
      </c>
      <c r="B230" s="2">
        <f>-B168</f>
        <v>-127</v>
      </c>
      <c r="C230" s="2">
        <f t="shared" ref="C230:G230" si="196">-C168</f>
        <v>-140</v>
      </c>
      <c r="D230" s="2">
        <f t="shared" si="196"/>
        <v>-119</v>
      </c>
      <c r="E230" s="2">
        <f t="shared" si="196"/>
        <v>-112</v>
      </c>
      <c r="F230" s="2">
        <f t="shared" si="196"/>
        <v>-109</v>
      </c>
      <c r="G230" s="2">
        <f t="shared" si="196"/>
        <v>-93</v>
      </c>
      <c r="J230" s="25">
        <f t="shared" ref="J230:J232" si="197">+B230/B$60</f>
        <v>-4.7951670757032279E-3</v>
      </c>
      <c r="K230" s="25">
        <f t="shared" ref="K230:K232" si="198">+C230/C$60</f>
        <v>-5.3759311880807927E-3</v>
      </c>
      <c r="L230" s="25">
        <f t="shared" ref="L230:L232" si="199">+D230/D$60</f>
        <v>-4.544586595379034E-3</v>
      </c>
      <c r="M230" s="25">
        <f t="shared" ref="M230:M232" si="200">+E230/E$60</f>
        <v>-4.4841253953637342E-3</v>
      </c>
      <c r="N230" s="25">
        <f t="shared" ref="N230:N232" si="201">+F230/F$60</f>
        <v>-4.1495355565707324E-3</v>
      </c>
      <c r="O230" s="25">
        <f t="shared" ref="O230:O232" si="202">+G230/G$60</f>
        <v>-3.5664979291302346E-3</v>
      </c>
      <c r="P230" s="25"/>
      <c r="R230" s="25">
        <f t="shared" ref="R230:R232" si="203">RATE(5,0,-G230,B230)</f>
        <v>6.4300226266165716E-2</v>
      </c>
      <c r="S230" s="25">
        <f t="shared" ref="S230:S232" si="204">AVERAGE(T230:X230)</f>
        <v>6.91358783821312E-2</v>
      </c>
      <c r="T230" s="25">
        <f t="shared" ref="T230:T232" si="205">(+B230-C230)/C230</f>
        <v>-9.285714285714286E-2</v>
      </c>
      <c r="U230" s="25">
        <f t="shared" ref="U230:U232" si="206">(+C230-D230)/D230</f>
        <v>0.17647058823529413</v>
      </c>
      <c r="V230" s="25">
        <f t="shared" ref="V230:V232" si="207">(+D230-E230)/E230</f>
        <v>6.25E-2</v>
      </c>
      <c r="W230" s="25">
        <f t="shared" ref="W230:W232" si="208">(+E230-F230)/F230</f>
        <v>2.7522935779816515E-2</v>
      </c>
      <c r="X230" s="25">
        <f t="shared" ref="X230:X232" si="209">(+F230-G230)/G230</f>
        <v>0.17204301075268819</v>
      </c>
    </row>
    <row r="231" spans="1:24" x14ac:dyDescent="0.25">
      <c r="A231" s="5" t="s">
        <v>320</v>
      </c>
      <c r="B231" s="2">
        <f>-B167</f>
        <v>-945</v>
      </c>
      <c r="C231" s="2">
        <f t="shared" ref="C231:G231" si="210">-C167</f>
        <v>-1039</v>
      </c>
      <c r="D231" s="2">
        <f t="shared" si="210"/>
        <v>-1070</v>
      </c>
      <c r="E231" s="2">
        <f t="shared" si="210"/>
        <v>-1100</v>
      </c>
      <c r="F231" s="2">
        <f t="shared" si="210"/>
        <v>-1140</v>
      </c>
      <c r="G231" s="2">
        <f t="shared" si="210"/>
        <v>-1115</v>
      </c>
      <c r="J231" s="25">
        <f t="shared" si="197"/>
        <v>-3.568057390976024E-2</v>
      </c>
      <c r="K231" s="25">
        <f t="shared" si="198"/>
        <v>-3.9897089317256738E-2</v>
      </c>
      <c r="L231" s="25">
        <f t="shared" si="199"/>
        <v>-4.0863089555088793E-2</v>
      </c>
      <c r="M231" s="25">
        <f t="shared" si="200"/>
        <v>-4.4040517275893823E-2</v>
      </c>
      <c r="N231" s="25">
        <f t="shared" si="201"/>
        <v>-4.3398812243033345E-2</v>
      </c>
      <c r="O231" s="25">
        <f t="shared" si="202"/>
        <v>-4.2759625709464642E-2</v>
      </c>
      <c r="P231" s="25"/>
      <c r="R231" s="25">
        <f t="shared" si="203"/>
        <v>-3.254363055898047E-2</v>
      </c>
      <c r="S231" s="25">
        <f t="shared" si="204"/>
        <v>-3.1876498367768777E-2</v>
      </c>
      <c r="T231" s="25">
        <f t="shared" si="205"/>
        <v>-9.0471607314725699E-2</v>
      </c>
      <c r="U231" s="25">
        <f t="shared" si="206"/>
        <v>-2.897196261682243E-2</v>
      </c>
      <c r="V231" s="25">
        <f t="shared" si="207"/>
        <v>-2.7272727272727271E-2</v>
      </c>
      <c r="W231" s="25">
        <f t="shared" si="208"/>
        <v>-3.5087719298245612E-2</v>
      </c>
      <c r="X231" s="25">
        <f t="shared" si="209"/>
        <v>2.2421524663677129E-2</v>
      </c>
    </row>
    <row r="232" spans="1:24" ht="15.75" thickBot="1" x14ac:dyDescent="0.3">
      <c r="A232" s="2" t="s">
        <v>519</v>
      </c>
      <c r="B232" s="9">
        <f>SUM(B229:B231)</f>
        <v>2503</v>
      </c>
      <c r="C232" s="9">
        <f t="shared" ref="C232:G232" si="211">SUM(C229:C231)</f>
        <v>2409</v>
      </c>
      <c r="D232" s="74">
        <f t="shared" si="211"/>
        <v>2461</v>
      </c>
      <c r="E232" s="74">
        <f t="shared" si="211"/>
        <v>1966</v>
      </c>
      <c r="F232" s="74">
        <f t="shared" si="211"/>
        <v>1941</v>
      </c>
      <c r="G232" s="74">
        <f t="shared" si="211"/>
        <v>1719</v>
      </c>
      <c r="H232" s="19"/>
      <c r="I232" s="19"/>
      <c r="J232" s="83">
        <f t="shared" si="197"/>
        <v>9.4506324334528977E-2</v>
      </c>
      <c r="K232" s="83">
        <f t="shared" si="198"/>
        <v>9.2504415943475929E-2</v>
      </c>
      <c r="L232" s="83">
        <f t="shared" si="199"/>
        <v>9.3985105976704217E-2</v>
      </c>
      <c r="M232" s="83">
        <f t="shared" si="200"/>
        <v>7.8712415422188417E-2</v>
      </c>
      <c r="N232" s="83">
        <f t="shared" si="201"/>
        <v>7.3892188213796256E-2</v>
      </c>
      <c r="O232" s="83">
        <f t="shared" si="202"/>
        <v>6.5922687528762083E-2</v>
      </c>
      <c r="P232" s="83"/>
      <c r="Q232" s="19"/>
      <c r="R232" s="83">
        <f t="shared" si="203"/>
        <v>7.8045260485801612E-2</v>
      </c>
      <c r="S232" s="83">
        <f t="shared" si="204"/>
        <v>8.2339158644776006E-2</v>
      </c>
      <c r="T232" s="83">
        <f t="shared" si="205"/>
        <v>3.9020340390203405E-2</v>
      </c>
      <c r="U232" s="83">
        <f t="shared" si="206"/>
        <v>-2.1129622104835433E-2</v>
      </c>
      <c r="V232" s="83">
        <f t="shared" si="207"/>
        <v>0.25178026449643948</v>
      </c>
      <c r="W232" s="25">
        <f t="shared" si="208"/>
        <v>1.287995878413189E-2</v>
      </c>
      <c r="X232" s="25">
        <f t="shared" si="209"/>
        <v>0.12914485165794065</v>
      </c>
    </row>
    <row r="233" spans="1:24" ht="15.75" thickTop="1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3701-F7A9-4D62-AC57-0647D58777B4}">
  <dimension ref="A1:X281"/>
  <sheetViews>
    <sheetView zoomScale="84" zoomScaleNormal="70" workbookViewId="0">
      <selection activeCell="G58" sqref="G58"/>
    </sheetView>
  </sheetViews>
  <sheetFormatPr defaultColWidth="9.140625" defaultRowHeight="15" x14ac:dyDescent="0.25"/>
  <cols>
    <col min="1" max="1" width="40.7109375" style="2" customWidth="1"/>
    <col min="2" max="8" width="10.7109375" style="2" customWidth="1"/>
    <col min="9" max="9" width="9.140625" style="2"/>
    <col min="10" max="15" width="8.7109375" style="2" customWidth="1"/>
    <col min="16" max="16" width="9.7109375" style="2" customWidth="1"/>
    <col min="17" max="24" width="8.7109375" style="2" customWidth="1"/>
    <col min="25" max="16384" width="9.140625" style="2"/>
  </cols>
  <sheetData>
    <row r="1" spans="1:24" s="53" customFormat="1" x14ac:dyDescent="0.25">
      <c r="A1" s="66" t="s">
        <v>0</v>
      </c>
      <c r="B1" s="66" t="s">
        <v>261</v>
      </c>
      <c r="C1" s="66"/>
      <c r="D1" s="66"/>
      <c r="E1" s="66"/>
      <c r="F1" s="66"/>
      <c r="G1" s="66"/>
      <c r="J1" s="66" t="str">
        <f>+B1</f>
        <v>Reclassified</v>
      </c>
      <c r="K1" s="66"/>
      <c r="L1" s="66"/>
      <c r="M1" s="66"/>
      <c r="N1" s="66"/>
      <c r="O1" s="66"/>
      <c r="R1" s="66" t="str">
        <f>+B1</f>
        <v>Reclassified</v>
      </c>
      <c r="S1" s="66"/>
      <c r="T1" s="66"/>
      <c r="U1" s="66"/>
      <c r="V1" s="66"/>
      <c r="W1" s="66"/>
      <c r="X1" s="66"/>
    </row>
    <row r="2" spans="1:24" s="53" customFormat="1" x14ac:dyDescent="0.25">
      <c r="A2" s="66" t="s">
        <v>61</v>
      </c>
      <c r="B2" s="66"/>
      <c r="C2" s="66"/>
      <c r="D2" s="66"/>
      <c r="E2" s="66"/>
      <c r="F2" s="66"/>
      <c r="G2" s="66"/>
      <c r="J2" s="66" t="s">
        <v>62</v>
      </c>
      <c r="K2" s="66"/>
      <c r="L2" s="66"/>
      <c r="M2" s="66"/>
      <c r="N2" s="66"/>
      <c r="O2" s="66"/>
      <c r="R2" s="66" t="s">
        <v>63</v>
      </c>
      <c r="S2" s="66"/>
      <c r="T2" s="66"/>
      <c r="U2" s="66"/>
      <c r="V2" s="66"/>
      <c r="W2" s="66"/>
      <c r="X2" s="66"/>
    </row>
    <row r="3" spans="1:24" s="53" customFormat="1" x14ac:dyDescent="0.25">
      <c r="A3" s="66" t="s">
        <v>64</v>
      </c>
      <c r="B3" s="66"/>
      <c r="C3" s="66"/>
      <c r="D3" s="66"/>
      <c r="E3" s="66"/>
      <c r="F3" s="66" t="s">
        <v>262</v>
      </c>
      <c r="G3" s="72" t="s">
        <v>66</v>
      </c>
      <c r="H3" s="65"/>
      <c r="J3" s="66"/>
      <c r="K3" s="66"/>
      <c r="L3" s="66"/>
      <c r="M3" s="66"/>
      <c r="N3" s="66"/>
      <c r="O3" s="72" t="s">
        <v>66</v>
      </c>
      <c r="P3" s="65"/>
      <c r="R3" s="66" t="s">
        <v>67</v>
      </c>
      <c r="S3" s="66" t="s">
        <v>68</v>
      </c>
      <c r="T3" s="66" t="s">
        <v>69</v>
      </c>
      <c r="U3" s="66" t="s">
        <v>70</v>
      </c>
      <c r="V3" s="66" t="s">
        <v>71</v>
      </c>
      <c r="W3" s="66" t="s">
        <v>72</v>
      </c>
      <c r="X3" s="66" t="s">
        <v>73</v>
      </c>
    </row>
    <row r="4" spans="1:24" s="53" customFormat="1" ht="15.75" thickBot="1" x14ac:dyDescent="0.3">
      <c r="A4" s="67" t="s">
        <v>520</v>
      </c>
      <c r="B4" s="69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77"/>
      <c r="J4" s="69">
        <v>2022</v>
      </c>
      <c r="K4" s="69">
        <v>2021</v>
      </c>
      <c r="L4" s="69">
        <v>2020</v>
      </c>
      <c r="M4" s="69">
        <v>2019</v>
      </c>
      <c r="N4" s="69">
        <v>2018</v>
      </c>
      <c r="O4" s="69">
        <v>2017</v>
      </c>
      <c r="P4" s="77"/>
      <c r="R4" s="70" t="s">
        <v>75</v>
      </c>
      <c r="S4" s="70" t="s">
        <v>76</v>
      </c>
      <c r="T4" s="71">
        <v>2022</v>
      </c>
      <c r="U4" s="71">
        <v>2021</v>
      </c>
      <c r="V4" s="71">
        <v>2020</v>
      </c>
      <c r="W4" s="71">
        <v>2019</v>
      </c>
      <c r="X4" s="71">
        <v>2018</v>
      </c>
    </row>
    <row r="5" spans="1:24" x14ac:dyDescent="0.25">
      <c r="A5" s="2" t="s">
        <v>77</v>
      </c>
    </row>
    <row r="6" spans="1:24" x14ac:dyDescent="0.25">
      <c r="A6" s="5" t="s">
        <v>78</v>
      </c>
      <c r="B6" s="8">
        <v>1040</v>
      </c>
      <c r="C6" s="8">
        <v>3445</v>
      </c>
      <c r="D6" s="8">
        <v>3417</v>
      </c>
      <c r="E6" s="8">
        <v>2279</v>
      </c>
      <c r="F6" s="8">
        <v>1130</v>
      </c>
      <c r="G6" s="8">
        <v>1629</v>
      </c>
      <c r="H6" s="8"/>
      <c r="J6" s="25">
        <f t="shared" ref="J6:O6" si="0">+B6/B$21</f>
        <v>1.14900622010098E-2</v>
      </c>
      <c r="K6" s="25">
        <f t="shared" si="0"/>
        <v>3.6886737906075336E-2</v>
      </c>
      <c r="L6" s="25">
        <f t="shared" si="0"/>
        <v>3.4228187919463089E-2</v>
      </c>
      <c r="M6" s="25">
        <f t="shared" si="0"/>
        <v>2.2464268112370626E-2</v>
      </c>
      <c r="N6" s="25">
        <f t="shared" si="0"/>
        <v>1.0921989928572119E-2</v>
      </c>
      <c r="O6" s="25">
        <f t="shared" si="0"/>
        <v>1.3564600472970723E-2</v>
      </c>
      <c r="P6" s="25"/>
      <c r="R6" s="25">
        <f>RATE(5,0,-G6,B6)</f>
        <v>-8.5839501919465239E-2</v>
      </c>
      <c r="S6" s="25">
        <f>AVERAGE(T6:X6)</f>
        <v>0.10398283867061812</v>
      </c>
      <c r="T6" s="25">
        <f>(+B6-C6)/C6</f>
        <v>-0.69811320754716977</v>
      </c>
      <c r="U6" s="25">
        <f>(+C6-D6)/D6</f>
        <v>8.194322505121452E-3</v>
      </c>
      <c r="V6" s="25">
        <f>(+D6-E6)/E6</f>
        <v>0.49934181658622201</v>
      </c>
      <c r="W6" s="25">
        <f>(+E6-F6)/F6</f>
        <v>1.0168141592920354</v>
      </c>
      <c r="X6" s="25">
        <f>(+F6-G6)/G6</f>
        <v>-0.30632289748311847</v>
      </c>
    </row>
    <row r="7" spans="1:24" x14ac:dyDescent="0.25">
      <c r="A7" s="5" t="s">
        <v>263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J7" s="25"/>
      <c r="K7" s="25"/>
      <c r="L7" s="25"/>
      <c r="M7" s="25"/>
      <c r="N7" s="25"/>
      <c r="O7" s="25"/>
      <c r="P7" s="25"/>
      <c r="R7" s="25"/>
      <c r="S7" s="25"/>
      <c r="T7" s="25"/>
      <c r="U7" s="25"/>
      <c r="V7" s="25"/>
      <c r="W7" s="25"/>
      <c r="X7" s="25"/>
    </row>
    <row r="8" spans="1:24" x14ac:dyDescent="0.25">
      <c r="A8" s="5" t="s">
        <v>18</v>
      </c>
      <c r="B8" s="2">
        <v>2120</v>
      </c>
      <c r="C8" s="2">
        <v>1957</v>
      </c>
      <c r="D8" s="2">
        <v>2063</v>
      </c>
      <c r="E8" s="2">
        <v>1973</v>
      </c>
      <c r="F8" s="2">
        <v>2129</v>
      </c>
      <c r="G8" s="2">
        <v>921</v>
      </c>
      <c r="J8" s="25">
        <f t="shared" ref="J8:O17" si="1">+B8/B$21</f>
        <v>2.3422049871289208E-2</v>
      </c>
      <c r="K8" s="25">
        <f t="shared" si="1"/>
        <v>2.095423688887937E-2</v>
      </c>
      <c r="L8" s="25">
        <f t="shared" si="1"/>
        <v>2.0665130722227788E-2</v>
      </c>
      <c r="M8" s="25">
        <f t="shared" si="1"/>
        <v>1.944800394282898E-2</v>
      </c>
      <c r="N8" s="25">
        <f t="shared" si="1"/>
        <v>2.0577802263654903E-2</v>
      </c>
      <c r="O8" s="25">
        <f t="shared" si="1"/>
        <v>7.669120341071845E-3</v>
      </c>
      <c r="P8" s="25"/>
      <c r="R8" s="25">
        <f t="shared" ref="R8:R21" si="2">RATE(5,0,-G8,B8)</f>
        <v>0.18144972663460698</v>
      </c>
      <c r="S8" s="25">
        <f t="shared" ref="S8:S21" si="3">AVERAGE(T8:X8)</f>
        <v>0.26317381012087437</v>
      </c>
      <c r="T8" s="25">
        <f t="shared" ref="T8:X21" si="4">(+B8-C8)/C8</f>
        <v>8.3290751149718956E-2</v>
      </c>
      <c r="U8" s="25">
        <f t="shared" si="4"/>
        <v>-5.1381483276781388E-2</v>
      </c>
      <c r="V8" s="25">
        <f t="shared" si="4"/>
        <v>4.5615813482007099E-2</v>
      </c>
      <c r="W8" s="25">
        <f t="shared" si="4"/>
        <v>-7.3273837482386098E-2</v>
      </c>
      <c r="X8" s="25">
        <f t="shared" si="4"/>
        <v>1.3116178067318132</v>
      </c>
    </row>
    <row r="9" spans="1:24" x14ac:dyDescent="0.25">
      <c r="A9" s="5" t="s">
        <v>19</v>
      </c>
      <c r="B9" s="2">
        <v>3651</v>
      </c>
      <c r="C9" s="2">
        <v>2729</v>
      </c>
      <c r="D9" s="2">
        <v>2554</v>
      </c>
      <c r="E9" s="2">
        <v>2721</v>
      </c>
      <c r="F9" s="2">
        <v>2667</v>
      </c>
      <c r="G9" s="2">
        <v>2760</v>
      </c>
      <c r="J9" s="25">
        <f t="shared" si="1"/>
        <v>4.0336747207583443E-2</v>
      </c>
      <c r="K9" s="25">
        <f t="shared" si="1"/>
        <v>2.9220292524145021E-2</v>
      </c>
      <c r="L9" s="25">
        <f t="shared" si="1"/>
        <v>2.5583491936291697E-2</v>
      </c>
      <c r="M9" s="25">
        <f t="shared" si="1"/>
        <v>2.6821094135041891E-2</v>
      </c>
      <c r="N9" s="25">
        <f t="shared" si="1"/>
        <v>2.5777829326992779E-2</v>
      </c>
      <c r="O9" s="25">
        <f t="shared" si="1"/>
        <v>2.2982380175199015E-2</v>
      </c>
      <c r="P9" s="25"/>
      <c r="R9" s="25">
        <f t="shared" si="2"/>
        <v>5.7549124818983735E-2</v>
      </c>
      <c r="S9" s="25">
        <f t="shared" si="3"/>
        <v>6.6309996838441923E-2</v>
      </c>
      <c r="T9" s="25">
        <f t="shared" si="4"/>
        <v>0.337852693294247</v>
      </c>
      <c r="U9" s="25">
        <f t="shared" si="4"/>
        <v>6.8519968676585746E-2</v>
      </c>
      <c r="V9" s="25">
        <f t="shared" si="4"/>
        <v>-6.1374494671076807E-2</v>
      </c>
      <c r="W9" s="25">
        <f t="shared" si="4"/>
        <v>2.0247469066366704E-2</v>
      </c>
      <c r="X9" s="25">
        <f t="shared" si="4"/>
        <v>-3.3695652173913043E-2</v>
      </c>
    </row>
    <row r="10" spans="1:24" x14ac:dyDescent="0.25">
      <c r="A10" s="5" t="s">
        <v>20</v>
      </c>
      <c r="B10" s="2">
        <f>+B240</f>
        <v>1086</v>
      </c>
      <c r="C10" s="2">
        <f t="shared" ref="C10:G10" si="5">+C240</f>
        <v>863</v>
      </c>
      <c r="D10" s="2">
        <f t="shared" si="5"/>
        <v>2788</v>
      </c>
      <c r="E10" s="2">
        <f t="shared" si="5"/>
        <v>1124</v>
      </c>
      <c r="F10" s="2">
        <f t="shared" si="5"/>
        <v>3149</v>
      </c>
      <c r="G10" s="2">
        <f t="shared" si="5"/>
        <v>1891</v>
      </c>
      <c r="J10" s="26">
        <f t="shared" si="1"/>
        <v>1.1998276490669849E-2</v>
      </c>
      <c r="K10" s="26">
        <f t="shared" si="1"/>
        <v>9.2404222969355628E-3</v>
      </c>
      <c r="L10" s="26">
        <f t="shared" si="1"/>
        <v>2.7927476710407694E-2</v>
      </c>
      <c r="M10" s="26">
        <f t="shared" si="1"/>
        <v>1.1079349433218335E-2</v>
      </c>
      <c r="N10" s="26">
        <f t="shared" si="1"/>
        <v>3.0436589632808497E-2</v>
      </c>
      <c r="O10" s="26">
        <f t="shared" si="1"/>
        <v>1.5746261199746862E-2</v>
      </c>
      <c r="P10" s="33"/>
      <c r="Q10" s="30"/>
      <c r="R10" s="26">
        <f t="shared" si="2"/>
        <v>-0.10499047081771275</v>
      </c>
      <c r="S10" s="26">
        <f t="shared" si="3"/>
        <v>0.2141128103088957</v>
      </c>
      <c r="T10" s="26">
        <f t="shared" si="4"/>
        <v>0.25840092699884126</v>
      </c>
      <c r="U10" s="26">
        <f t="shared" si="4"/>
        <v>-0.69045911047345765</v>
      </c>
      <c r="V10" s="26">
        <f t="shared" si="4"/>
        <v>1.4804270462633451</v>
      </c>
      <c r="W10" s="26">
        <f t="shared" si="4"/>
        <v>-0.64306128929818995</v>
      </c>
      <c r="X10" s="26">
        <f t="shared" si="4"/>
        <v>0.66525647805393973</v>
      </c>
    </row>
    <row r="11" spans="1:24" x14ac:dyDescent="0.25">
      <c r="A11" s="2" t="s">
        <v>21</v>
      </c>
      <c r="B11" s="6">
        <f t="shared" ref="B11:G11" si="6">SUM(B6:B10)</f>
        <v>7897</v>
      </c>
      <c r="C11" s="6">
        <f t="shared" si="6"/>
        <v>8994</v>
      </c>
      <c r="D11" s="6">
        <f t="shared" si="6"/>
        <v>10822</v>
      </c>
      <c r="E11" s="6">
        <f t="shared" si="6"/>
        <v>8097</v>
      </c>
      <c r="F11" s="6">
        <f t="shared" si="6"/>
        <v>9075</v>
      </c>
      <c r="G11" s="6">
        <f t="shared" si="6"/>
        <v>7201</v>
      </c>
      <c r="H11" s="30"/>
      <c r="J11" s="25">
        <f t="shared" si="1"/>
        <v>8.7247135770552292E-2</v>
      </c>
      <c r="K11" s="25">
        <f t="shared" si="1"/>
        <v>9.6301689616035288E-2</v>
      </c>
      <c r="L11" s="25">
        <f t="shared" si="1"/>
        <v>0.10840428728839026</v>
      </c>
      <c r="M11" s="25">
        <f t="shared" si="1"/>
        <v>7.9812715623459832E-2</v>
      </c>
      <c r="N11" s="25">
        <f t="shared" si="1"/>
        <v>8.7714211152028307E-2</v>
      </c>
      <c r="O11" s="25">
        <f t="shared" si="1"/>
        <v>5.9962362188988441E-2</v>
      </c>
      <c r="P11" s="33"/>
      <c r="Q11" s="30"/>
      <c r="R11" s="25">
        <f t="shared" si="2"/>
        <v>1.8623908433372451E-2</v>
      </c>
      <c r="S11" s="25">
        <f t="shared" si="3"/>
        <v>3.9626412414418111E-2</v>
      </c>
      <c r="T11" s="25">
        <f t="shared" si="4"/>
        <v>-0.12197020235712697</v>
      </c>
      <c r="U11" s="25">
        <f t="shared" si="4"/>
        <v>-0.16891517279615598</v>
      </c>
      <c r="V11" s="25">
        <f t="shared" si="4"/>
        <v>0.33654439916018281</v>
      </c>
      <c r="W11" s="25">
        <f t="shared" si="4"/>
        <v>-0.10776859504132232</v>
      </c>
      <c r="X11" s="25">
        <f t="shared" si="4"/>
        <v>0.26024163310651299</v>
      </c>
    </row>
    <row r="12" spans="1:24" x14ac:dyDescent="0.25">
      <c r="A12" s="31" t="s">
        <v>187</v>
      </c>
      <c r="B12" s="30">
        <f>+B218</f>
        <v>200</v>
      </c>
      <c r="C12" s="30">
        <f t="shared" ref="C12:G12" si="7">+C218</f>
        <v>207</v>
      </c>
      <c r="D12" s="30">
        <f t="shared" si="7"/>
        <v>219</v>
      </c>
      <c r="E12" s="30">
        <f t="shared" si="7"/>
        <v>210</v>
      </c>
      <c r="F12" s="30">
        <f t="shared" si="7"/>
        <v>218</v>
      </c>
      <c r="G12" s="30">
        <f t="shared" si="7"/>
        <v>250</v>
      </c>
      <c r="H12" s="30"/>
      <c r="J12" s="25">
        <f t="shared" si="1"/>
        <v>2.2096273463480384E-3</v>
      </c>
      <c r="K12" s="25">
        <f t="shared" si="1"/>
        <v>2.2164164721502452E-3</v>
      </c>
      <c r="L12" s="25">
        <f t="shared" si="1"/>
        <v>2.1937293398777923E-3</v>
      </c>
      <c r="M12" s="25">
        <f t="shared" si="1"/>
        <v>2.0699852143913258E-3</v>
      </c>
      <c r="N12" s="25">
        <f t="shared" si="1"/>
        <v>2.1070741632112583E-3</v>
      </c>
      <c r="O12" s="25">
        <f t="shared" si="1"/>
        <v>2.0817373347100554E-3</v>
      </c>
      <c r="P12" s="33"/>
      <c r="Q12" s="30"/>
      <c r="R12" s="25">
        <f t="shared" si="2"/>
        <v>-4.3647500209735325E-2</v>
      </c>
      <c r="S12" s="25">
        <f t="shared" si="3"/>
        <v>-4.2090210103599465E-2</v>
      </c>
      <c r="T12" s="25">
        <f t="shared" si="4"/>
        <v>-3.3816425120772944E-2</v>
      </c>
      <c r="U12" s="25">
        <f t="shared" si="4"/>
        <v>-5.4794520547945202E-2</v>
      </c>
      <c r="V12" s="25">
        <f t="shared" si="4"/>
        <v>4.2857142857142858E-2</v>
      </c>
      <c r="W12" s="25">
        <f t="shared" si="4"/>
        <v>-3.669724770642202E-2</v>
      </c>
      <c r="X12" s="25">
        <f t="shared" si="4"/>
        <v>-0.128</v>
      </c>
    </row>
    <row r="13" spans="1:24" x14ac:dyDescent="0.25">
      <c r="A13" s="31" t="s">
        <v>188</v>
      </c>
      <c r="B13" s="30">
        <f t="shared" ref="B13:G16" si="8">+B219</f>
        <v>1161</v>
      </c>
      <c r="C13" s="30">
        <f t="shared" si="8"/>
        <v>1002</v>
      </c>
      <c r="D13" s="30">
        <f t="shared" si="8"/>
        <v>792</v>
      </c>
      <c r="E13" s="30">
        <f t="shared" si="8"/>
        <v>1033</v>
      </c>
      <c r="F13" s="30">
        <f t="shared" si="8"/>
        <v>1165</v>
      </c>
      <c r="G13" s="30">
        <f t="shared" si="8"/>
        <v>1345</v>
      </c>
      <c r="H13" s="30"/>
      <c r="J13" s="25">
        <f t="shared" si="1"/>
        <v>1.2826886745550364E-2</v>
      </c>
      <c r="K13" s="25">
        <f t="shared" si="1"/>
        <v>1.0728740604321477E-2</v>
      </c>
      <c r="L13" s="25">
        <f t="shared" si="1"/>
        <v>7.9334869277772214E-3</v>
      </c>
      <c r="M13" s="25">
        <f t="shared" si="1"/>
        <v>1.0182355840315425E-2</v>
      </c>
      <c r="N13" s="25">
        <f t="shared" si="1"/>
        <v>1.1260281652023467E-2</v>
      </c>
      <c r="O13" s="25">
        <f t="shared" si="1"/>
        <v>1.1199746860740099E-2</v>
      </c>
      <c r="P13" s="33"/>
      <c r="Q13" s="30"/>
      <c r="R13" s="25">
        <f t="shared" si="2"/>
        <v>-2.8993835467276595E-2</v>
      </c>
      <c r="S13" s="25">
        <f t="shared" si="3"/>
        <v>-1.1320126458029781E-2</v>
      </c>
      <c r="T13" s="25">
        <f t="shared" si="4"/>
        <v>0.15868263473053892</v>
      </c>
      <c r="U13" s="25">
        <f t="shared" si="4"/>
        <v>0.26515151515151514</v>
      </c>
      <c r="V13" s="25">
        <f t="shared" si="4"/>
        <v>-0.23330106485963215</v>
      </c>
      <c r="W13" s="25">
        <f t="shared" si="4"/>
        <v>-0.11330472103004292</v>
      </c>
      <c r="X13" s="25">
        <f t="shared" si="4"/>
        <v>-0.13382899628252787</v>
      </c>
    </row>
    <row r="14" spans="1:24" x14ac:dyDescent="0.25">
      <c r="A14" s="31" t="s">
        <v>189</v>
      </c>
      <c r="B14" s="27">
        <f t="shared" si="8"/>
        <v>9591</v>
      </c>
      <c r="C14" s="27">
        <f t="shared" si="8"/>
        <v>9465</v>
      </c>
      <c r="D14" s="27">
        <f t="shared" si="8"/>
        <v>9428</v>
      </c>
      <c r="E14" s="27">
        <f t="shared" si="8"/>
        <v>8999</v>
      </c>
      <c r="F14" s="27">
        <f t="shared" si="8"/>
        <v>8279</v>
      </c>
      <c r="G14" s="27">
        <f t="shared" si="8"/>
        <v>7555</v>
      </c>
      <c r="H14" s="30"/>
      <c r="J14" s="26">
        <f t="shared" si="1"/>
        <v>0.10596267939412018</v>
      </c>
      <c r="K14" s="26">
        <f t="shared" si="1"/>
        <v>0.10134484013962353</v>
      </c>
      <c r="L14" s="26">
        <f t="shared" si="1"/>
        <v>9.4440548933186416E-2</v>
      </c>
      <c r="M14" s="26">
        <f t="shared" si="1"/>
        <v>8.8703794972893046E-2</v>
      </c>
      <c r="N14" s="26">
        <f t="shared" si="1"/>
        <v>8.0020490812963335E-2</v>
      </c>
      <c r="O14" s="26">
        <f t="shared" si="1"/>
        <v>6.2910102254937886E-2</v>
      </c>
      <c r="P14" s="33"/>
      <c r="Q14" s="30"/>
      <c r="R14" s="26">
        <f t="shared" si="2"/>
        <v>4.8880193408491791E-2</v>
      </c>
      <c r="S14" s="26">
        <f t="shared" si="3"/>
        <v>4.9541249491260528E-2</v>
      </c>
      <c r="T14" s="26">
        <f t="shared" si="4"/>
        <v>1.3312202852614897E-2</v>
      </c>
      <c r="U14" s="26">
        <f t="shared" si="4"/>
        <v>3.9244802715316081E-3</v>
      </c>
      <c r="V14" s="26">
        <f t="shared" si="4"/>
        <v>4.7671963551505721E-2</v>
      </c>
      <c r="W14" s="26">
        <f t="shared" si="4"/>
        <v>8.6967025003019685E-2</v>
      </c>
      <c r="X14" s="26">
        <f t="shared" si="4"/>
        <v>9.5830575777630711E-2</v>
      </c>
    </row>
    <row r="15" spans="1:24" x14ac:dyDescent="0.25">
      <c r="A15" s="31" t="s">
        <v>264</v>
      </c>
      <c r="B15" s="30">
        <f t="shared" si="8"/>
        <v>10952</v>
      </c>
      <c r="C15" s="30">
        <f t="shared" si="8"/>
        <v>10674</v>
      </c>
      <c r="D15" s="30">
        <f t="shared" si="8"/>
        <v>10439</v>
      </c>
      <c r="E15" s="30">
        <f t="shared" si="8"/>
        <v>10242</v>
      </c>
      <c r="F15" s="30">
        <f t="shared" si="8"/>
        <v>9662</v>
      </c>
      <c r="G15" s="30">
        <f t="shared" si="8"/>
        <v>9150</v>
      </c>
      <c r="H15" s="30"/>
      <c r="J15" s="25">
        <f t="shared" si="1"/>
        <v>0.12099919348601858</v>
      </c>
      <c r="K15" s="25">
        <f t="shared" si="1"/>
        <v>0.11428999721609526</v>
      </c>
      <c r="L15" s="25">
        <f t="shared" si="1"/>
        <v>0.10456776520084143</v>
      </c>
      <c r="M15" s="25">
        <f t="shared" si="1"/>
        <v>0.1009561360275998</v>
      </c>
      <c r="N15" s="25">
        <f t="shared" si="1"/>
        <v>9.338784662819806E-2</v>
      </c>
      <c r="O15" s="25">
        <f t="shared" si="1"/>
        <v>7.6191586450388038E-2</v>
      </c>
      <c r="P15" s="33"/>
      <c r="Q15" s="30"/>
      <c r="R15" s="25">
        <f t="shared" si="2"/>
        <v>3.6607790043669146E-2</v>
      </c>
      <c r="S15" s="25">
        <f t="shared" si="3"/>
        <v>3.6755223469835667E-2</v>
      </c>
      <c r="T15" s="25">
        <f t="shared" si="4"/>
        <v>2.6044594341390295E-2</v>
      </c>
      <c r="U15" s="25">
        <f t="shared" si="4"/>
        <v>2.2511734840501965E-2</v>
      </c>
      <c r="V15" s="25">
        <f t="shared" si="4"/>
        <v>1.9234524506932239E-2</v>
      </c>
      <c r="W15" s="25">
        <f t="shared" si="4"/>
        <v>6.0028979507348375E-2</v>
      </c>
      <c r="X15" s="25">
        <f t="shared" si="4"/>
        <v>5.5956284153005464E-2</v>
      </c>
    </row>
    <row r="16" spans="1:24" x14ac:dyDescent="0.25">
      <c r="A16" s="31" t="s">
        <v>191</v>
      </c>
      <c r="B16" s="27">
        <f t="shared" si="8"/>
        <v>-4212</v>
      </c>
      <c r="C16" s="27">
        <f t="shared" si="8"/>
        <v>-3868</v>
      </c>
      <c r="D16" s="27">
        <f t="shared" si="8"/>
        <v>-3563</v>
      </c>
      <c r="E16" s="27">
        <f t="shared" si="8"/>
        <v>-3187</v>
      </c>
      <c r="F16" s="27">
        <f t="shared" si="8"/>
        <v>-2584</v>
      </c>
      <c r="G16" s="27">
        <f t="shared" si="8"/>
        <v>-2089</v>
      </c>
      <c r="H16" s="30"/>
      <c r="J16" s="26">
        <f t="shared" si="1"/>
        <v>-4.6534751914089692E-2</v>
      </c>
      <c r="K16" s="26">
        <f t="shared" si="1"/>
        <v>-4.1415936783947574E-2</v>
      </c>
      <c r="L16" s="26">
        <f t="shared" si="1"/>
        <v>-3.5690674146048283E-2</v>
      </c>
      <c r="M16" s="26">
        <f t="shared" si="1"/>
        <v>-3.1414489896500739E-2</v>
      </c>
      <c r="N16" s="26">
        <f t="shared" si="1"/>
        <v>-2.4975594668522439E-2</v>
      </c>
      <c r="O16" s="26">
        <f t="shared" si="1"/>
        <v>-1.7394997168837224E-2</v>
      </c>
      <c r="P16" s="33"/>
      <c r="Q16" s="30"/>
      <c r="R16" s="26">
        <f t="shared" si="2"/>
        <v>0.15056188918356203</v>
      </c>
      <c r="S16" s="26">
        <f t="shared" si="3"/>
        <v>0.15256615518164868</v>
      </c>
      <c r="T16" s="26">
        <f t="shared" si="4"/>
        <v>8.8934850051706302E-2</v>
      </c>
      <c r="U16" s="26">
        <f t="shared" si="4"/>
        <v>8.560202076901488E-2</v>
      </c>
      <c r="V16" s="26">
        <f t="shared" si="4"/>
        <v>0.11797929086915594</v>
      </c>
      <c r="W16" s="26">
        <f t="shared" si="4"/>
        <v>0.23335913312693499</v>
      </c>
      <c r="X16" s="26">
        <f t="shared" si="4"/>
        <v>0.2369554810914313</v>
      </c>
    </row>
    <row r="17" spans="1:24" x14ac:dyDescent="0.25">
      <c r="A17" s="5" t="s">
        <v>82</v>
      </c>
      <c r="B17" s="2">
        <v>6740</v>
      </c>
      <c r="C17" s="2">
        <v>6806</v>
      </c>
      <c r="D17" s="2">
        <v>6876</v>
      </c>
      <c r="E17" s="2">
        <v>7055</v>
      </c>
      <c r="F17" s="2">
        <v>7078</v>
      </c>
      <c r="G17" s="2">
        <v>7061</v>
      </c>
      <c r="J17" s="25">
        <f t="shared" si="1"/>
        <v>7.4464441571928899E-2</v>
      </c>
      <c r="K17" s="25">
        <f t="shared" si="1"/>
        <v>7.2874060432147669E-2</v>
      </c>
      <c r="L17" s="25">
        <f t="shared" si="1"/>
        <v>6.8877091054793144E-2</v>
      </c>
      <c r="M17" s="25">
        <f t="shared" si="1"/>
        <v>6.9541646131099061E-2</v>
      </c>
      <c r="N17" s="25">
        <f t="shared" si="1"/>
        <v>6.8412251959675624E-2</v>
      </c>
      <c r="O17" s="25">
        <f t="shared" si="1"/>
        <v>5.8796589281550814E-2</v>
      </c>
      <c r="P17" s="33"/>
      <c r="Q17" s="30"/>
      <c r="R17" s="25">
        <f t="shared" si="2"/>
        <v>-9.2621911140529506E-3</v>
      </c>
      <c r="S17" s="25">
        <f t="shared" si="3"/>
        <v>-9.2183308706207286E-3</v>
      </c>
      <c r="T17" s="25">
        <f t="shared" si="4"/>
        <v>-9.6973258889215402E-3</v>
      </c>
      <c r="U17" s="25">
        <f t="shared" si="4"/>
        <v>-1.0180337405468295E-2</v>
      </c>
      <c r="V17" s="25">
        <f t="shared" si="4"/>
        <v>-2.5372076541459957E-2</v>
      </c>
      <c r="W17" s="25">
        <f t="shared" si="4"/>
        <v>-3.2495055100310822E-3</v>
      </c>
      <c r="X17" s="25">
        <f t="shared" si="4"/>
        <v>2.407590992777227E-3</v>
      </c>
    </row>
    <row r="18" spans="1:24" x14ac:dyDescent="0.25">
      <c r="A18" s="5" t="s">
        <v>265</v>
      </c>
      <c r="B18" s="2">
        <f>+B227</f>
        <v>668</v>
      </c>
      <c r="C18" s="2">
        <f t="shared" ref="C18:G18" si="9">+C227</f>
        <v>569</v>
      </c>
      <c r="D18" s="2">
        <f t="shared" si="9"/>
        <v>562</v>
      </c>
      <c r="E18" s="2">
        <f t="shared" si="9"/>
        <v>542</v>
      </c>
      <c r="F18" s="2">
        <f t="shared" si="9"/>
        <v>0</v>
      </c>
      <c r="G18" s="2">
        <f t="shared" si="9"/>
        <v>0</v>
      </c>
      <c r="J18" s="25"/>
      <c r="K18" s="25"/>
      <c r="L18" s="25"/>
      <c r="M18" s="25"/>
      <c r="N18" s="25"/>
      <c r="O18" s="25"/>
      <c r="P18" s="33"/>
      <c r="Q18" s="30"/>
      <c r="R18" s="25"/>
      <c r="S18" s="25"/>
      <c r="T18" s="25"/>
      <c r="U18" s="25"/>
      <c r="V18" s="25"/>
      <c r="W18" s="25"/>
      <c r="X18" s="25"/>
    </row>
    <row r="19" spans="1:24" x14ac:dyDescent="0.25">
      <c r="A19" s="5" t="s">
        <v>266</v>
      </c>
      <c r="B19" s="2">
        <f>+B244</f>
        <v>73482</v>
      </c>
      <c r="C19" s="2">
        <f t="shared" ref="C19:G19" si="10">+C244</f>
        <v>74838</v>
      </c>
      <c r="D19" s="2">
        <f t="shared" si="10"/>
        <v>79756</v>
      </c>
      <c r="E19" s="2">
        <f t="shared" si="10"/>
        <v>84198</v>
      </c>
      <c r="F19" s="2">
        <f t="shared" si="10"/>
        <v>85971</v>
      </c>
      <c r="G19" s="2">
        <f t="shared" si="10"/>
        <v>104257</v>
      </c>
      <c r="J19" s="25">
        <f t="shared" ref="J19:O21" si="11">+B19/B$21</f>
        <v>0.81183918332173277</v>
      </c>
      <c r="K19" s="25">
        <f t="shared" si="11"/>
        <v>0.80131485962695681</v>
      </c>
      <c r="L19" s="25">
        <f t="shared" si="11"/>
        <v>0.79891816087348488</v>
      </c>
      <c r="M19" s="25">
        <f t="shared" si="11"/>
        <v>0.8299457861015278</v>
      </c>
      <c r="N19" s="25">
        <f t="shared" si="11"/>
        <v>0.83095079305245456</v>
      </c>
      <c r="O19" s="25">
        <f t="shared" si="11"/>
        <v>0.8681427572194651</v>
      </c>
      <c r="P19" s="33"/>
      <c r="Q19" s="30"/>
      <c r="R19" s="25">
        <f t="shared" si="2"/>
        <v>-6.7572338514843566E-2</v>
      </c>
      <c r="S19" s="25">
        <f t="shared" si="3"/>
        <v>-6.5711107885011805E-2</v>
      </c>
      <c r="T19" s="25">
        <f t="shared" si="4"/>
        <v>-1.8119137336647159E-2</v>
      </c>
      <c r="U19" s="25">
        <f t="shared" si="4"/>
        <v>-6.166307237073073E-2</v>
      </c>
      <c r="V19" s="25">
        <f t="shared" si="4"/>
        <v>-5.2756597543884655E-2</v>
      </c>
      <c r="W19" s="25">
        <f t="shared" si="4"/>
        <v>-2.0623233415919321E-2</v>
      </c>
      <c r="X19" s="25">
        <f t="shared" si="4"/>
        <v>-0.17539349875787716</v>
      </c>
    </row>
    <row r="20" spans="1:24" x14ac:dyDescent="0.25">
      <c r="A20" s="5" t="s">
        <v>25</v>
      </c>
      <c r="B20" s="2">
        <f>+B248</f>
        <v>1726</v>
      </c>
      <c r="C20" s="2">
        <f t="shared" ref="C20:G20" si="12">+C248</f>
        <v>2187</v>
      </c>
      <c r="D20" s="2">
        <f t="shared" si="12"/>
        <v>1814</v>
      </c>
      <c r="E20" s="2">
        <f t="shared" si="12"/>
        <v>1558</v>
      </c>
      <c r="F20" s="2">
        <f t="shared" si="12"/>
        <v>1337</v>
      </c>
      <c r="G20" s="2">
        <f t="shared" si="12"/>
        <v>1573</v>
      </c>
      <c r="J20" s="25">
        <f t="shared" si="11"/>
        <v>1.906908399898357E-2</v>
      </c>
      <c r="K20" s="25">
        <f t="shared" si="11"/>
        <v>2.3416921857935199E-2</v>
      </c>
      <c r="L20" s="25">
        <f t="shared" si="11"/>
        <v>1.8170890513873585E-2</v>
      </c>
      <c r="M20" s="25">
        <f t="shared" si="11"/>
        <v>1.5357318876293741E-2</v>
      </c>
      <c r="N20" s="25">
        <f t="shared" si="11"/>
        <v>1.2922743835841525E-2</v>
      </c>
      <c r="O20" s="25">
        <f t="shared" si="11"/>
        <v>1.309829130999567E-2</v>
      </c>
      <c r="P20" s="33"/>
      <c r="Q20" s="30"/>
      <c r="R20" s="25">
        <f t="shared" si="2"/>
        <v>1.8737783370035378E-2</v>
      </c>
      <c r="S20" s="25">
        <f t="shared" si="3"/>
        <v>3.4881753604939073E-2</v>
      </c>
      <c r="T20" s="25">
        <f t="shared" si="4"/>
        <v>-0.21079103795153178</v>
      </c>
      <c r="U20" s="25">
        <f t="shared" si="4"/>
        <v>0.20562293274531424</v>
      </c>
      <c r="V20" s="25">
        <f t="shared" si="4"/>
        <v>0.16431322207958921</v>
      </c>
      <c r="W20" s="25">
        <f t="shared" si="4"/>
        <v>0.16529543754674644</v>
      </c>
      <c r="X20" s="25">
        <f t="shared" si="4"/>
        <v>-0.15003178639542275</v>
      </c>
    </row>
    <row r="21" spans="1:24" ht="15.75" thickBot="1" x14ac:dyDescent="0.3">
      <c r="A21" s="2" t="s">
        <v>84</v>
      </c>
      <c r="B21" s="9">
        <f t="shared" ref="B21:G21" si="13">+B11+SUM(B17:B20)</f>
        <v>90513</v>
      </c>
      <c r="C21" s="9">
        <f t="shared" si="13"/>
        <v>93394</v>
      </c>
      <c r="D21" s="9">
        <f t="shared" si="13"/>
        <v>99830</v>
      </c>
      <c r="E21" s="9">
        <f t="shared" si="13"/>
        <v>101450</v>
      </c>
      <c r="F21" s="9">
        <f t="shared" si="13"/>
        <v>103461</v>
      </c>
      <c r="G21" s="9">
        <f t="shared" si="13"/>
        <v>120092</v>
      </c>
      <c r="H21" s="32"/>
      <c r="J21" s="28">
        <f t="shared" si="11"/>
        <v>1</v>
      </c>
      <c r="K21" s="28">
        <f t="shared" si="11"/>
        <v>1</v>
      </c>
      <c r="L21" s="28">
        <f t="shared" si="11"/>
        <v>1</v>
      </c>
      <c r="M21" s="28">
        <f t="shared" si="11"/>
        <v>1</v>
      </c>
      <c r="N21" s="28">
        <f t="shared" si="11"/>
        <v>1</v>
      </c>
      <c r="O21" s="28">
        <f t="shared" si="11"/>
        <v>1</v>
      </c>
      <c r="P21" s="33"/>
      <c r="Q21" s="30"/>
      <c r="R21" s="28">
        <f t="shared" si="2"/>
        <v>-5.4983532564241197E-2</v>
      </c>
      <c r="S21" s="28">
        <f t="shared" si="3"/>
        <v>-5.3841726418039616E-2</v>
      </c>
      <c r="T21" s="28">
        <f t="shared" si="4"/>
        <v>-3.084780606891235E-2</v>
      </c>
      <c r="U21" s="28">
        <f t="shared" si="4"/>
        <v>-6.4469598317139137E-2</v>
      </c>
      <c r="V21" s="28">
        <f t="shared" si="4"/>
        <v>-1.5968457368161656E-2</v>
      </c>
      <c r="W21" s="28">
        <f t="shared" si="4"/>
        <v>-1.9437275881733215E-2</v>
      </c>
      <c r="X21" s="28">
        <f t="shared" si="4"/>
        <v>-0.13848549445425173</v>
      </c>
    </row>
    <row r="22" spans="1:24" ht="15.75" thickTop="1" x14ac:dyDescent="0.25">
      <c r="A22" s="2" t="s">
        <v>85</v>
      </c>
      <c r="P22" s="30"/>
      <c r="Q22" s="30"/>
    </row>
    <row r="23" spans="1:24" x14ac:dyDescent="0.25">
      <c r="A23" s="5" t="s">
        <v>267</v>
      </c>
      <c r="B23" s="8">
        <f>+B252</f>
        <v>837</v>
      </c>
      <c r="C23" s="8">
        <f t="shared" ref="C23:G23" si="14">+C252</f>
        <v>754</v>
      </c>
      <c r="D23" s="8">
        <f t="shared" si="14"/>
        <v>236</v>
      </c>
      <c r="E23" s="8">
        <f t="shared" si="14"/>
        <v>1028</v>
      </c>
      <c r="F23" s="8">
        <f t="shared" si="14"/>
        <v>398</v>
      </c>
      <c r="G23" s="8">
        <f t="shared" si="14"/>
        <v>3195</v>
      </c>
      <c r="H23" s="8"/>
      <c r="J23" s="25">
        <f t="shared" ref="J23:O35" si="15">+B23/B$21</f>
        <v>9.24729044446654E-3</v>
      </c>
      <c r="K23" s="25">
        <f t="shared" si="15"/>
        <v>8.0733237681221495E-3</v>
      </c>
      <c r="L23" s="25">
        <f t="shared" si="15"/>
        <v>2.3640188320144247E-3</v>
      </c>
      <c r="M23" s="25">
        <f t="shared" si="15"/>
        <v>1.0133070478068013E-2</v>
      </c>
      <c r="N23" s="25">
        <f t="shared" si="15"/>
        <v>3.8468601695324806E-3</v>
      </c>
      <c r="O23" s="25">
        <f t="shared" si="15"/>
        <v>2.660460313759451E-2</v>
      </c>
      <c r="P23" s="33"/>
      <c r="Q23" s="30"/>
      <c r="R23" s="25">
        <f t="shared" ref="R23:R35" si="16">RATE(5,0,-G23,B23)</f>
        <v>-0.23501852356897554</v>
      </c>
      <c r="S23" s="25">
        <f t="shared" ref="S23:S35" si="17">AVERAGE(T23:X23)</f>
        <v>0.4484102054393645</v>
      </c>
      <c r="T23" s="25">
        <f t="shared" ref="T23:X35" si="18">(+B23-C23)/C23</f>
        <v>0.11007957559681697</v>
      </c>
      <c r="U23" s="25">
        <f t="shared" si="18"/>
        <v>2.1949152542372881</v>
      </c>
      <c r="V23" s="25">
        <f t="shared" si="18"/>
        <v>-0.77042801556420237</v>
      </c>
      <c r="W23" s="25">
        <f t="shared" si="18"/>
        <v>1.5829145728643217</v>
      </c>
      <c r="X23" s="25">
        <f t="shared" si="18"/>
        <v>-0.87543035993740215</v>
      </c>
    </row>
    <row r="24" spans="1:24" x14ac:dyDescent="0.25">
      <c r="A24" s="5" t="s">
        <v>88</v>
      </c>
      <c r="B24" s="2">
        <v>4848</v>
      </c>
      <c r="C24" s="2">
        <v>4753</v>
      </c>
      <c r="D24" s="2">
        <v>4304</v>
      </c>
      <c r="E24" s="2">
        <v>4003</v>
      </c>
      <c r="F24" s="2">
        <v>4153</v>
      </c>
      <c r="G24" s="2">
        <v>4362</v>
      </c>
      <c r="J24" s="25">
        <f t="shared" si="15"/>
        <v>5.3561366875476454E-2</v>
      </c>
      <c r="K24" s="25">
        <f t="shared" si="15"/>
        <v>5.0891920251836309E-2</v>
      </c>
      <c r="L24" s="25">
        <f t="shared" si="15"/>
        <v>4.3113292597415608E-2</v>
      </c>
      <c r="M24" s="25">
        <f t="shared" si="15"/>
        <v>3.9457861015278463E-2</v>
      </c>
      <c r="N24" s="25">
        <f t="shared" si="15"/>
        <v>4.0140729356955764E-2</v>
      </c>
      <c r="O24" s="25">
        <f t="shared" si="15"/>
        <v>3.6322153016021048E-2</v>
      </c>
      <c r="P24" s="33"/>
      <c r="Q24" s="30"/>
      <c r="R24" s="25">
        <f t="shared" si="16"/>
        <v>2.1351873752623592E-2</v>
      </c>
      <c r="S24" s="25">
        <f t="shared" si="17"/>
        <v>2.3094054588581041E-2</v>
      </c>
      <c r="T24" s="25">
        <f t="shared" si="18"/>
        <v>1.9987376393856511E-2</v>
      </c>
      <c r="U24" s="25">
        <f t="shared" si="18"/>
        <v>0.10432156133828996</v>
      </c>
      <c r="V24" s="25">
        <f t="shared" si="18"/>
        <v>7.5193604796402705E-2</v>
      </c>
      <c r="W24" s="25">
        <f t="shared" si="18"/>
        <v>-3.6118468576932336E-2</v>
      </c>
      <c r="X24" s="25">
        <f t="shared" si="18"/>
        <v>-4.79138010087116E-2</v>
      </c>
    </row>
    <row r="25" spans="1:24" x14ac:dyDescent="0.25">
      <c r="A25" s="5" t="s">
        <v>268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J25" s="25">
        <f t="shared" si="15"/>
        <v>0</v>
      </c>
      <c r="K25" s="25">
        <f t="shared" si="15"/>
        <v>0</v>
      </c>
      <c r="L25" s="25">
        <f t="shared" si="15"/>
        <v>0</v>
      </c>
      <c r="M25" s="25">
        <f t="shared" si="15"/>
        <v>0</v>
      </c>
      <c r="N25" s="25">
        <f t="shared" si="15"/>
        <v>0</v>
      </c>
      <c r="O25" s="25">
        <f t="shared" si="15"/>
        <v>0</v>
      </c>
      <c r="P25" s="33"/>
      <c r="Q25" s="30"/>
      <c r="R25" s="25"/>
      <c r="S25" s="25"/>
      <c r="T25" s="25"/>
      <c r="U25" s="25"/>
      <c r="V25" s="25"/>
      <c r="W25" s="25"/>
      <c r="X25" s="25"/>
    </row>
    <row r="26" spans="1:24" x14ac:dyDescent="0.25">
      <c r="A26" s="5" t="s">
        <v>269</v>
      </c>
      <c r="B26" s="2">
        <f>+B228</f>
        <v>125</v>
      </c>
      <c r="C26" s="2">
        <f t="shared" ref="C26:G26" si="19">+C228</f>
        <v>133</v>
      </c>
      <c r="D26" s="2">
        <f t="shared" si="19"/>
        <v>135</v>
      </c>
      <c r="E26" s="2">
        <f t="shared" si="19"/>
        <v>147</v>
      </c>
      <c r="F26" s="2">
        <f t="shared" si="19"/>
        <v>0</v>
      </c>
      <c r="G26" s="2">
        <f t="shared" si="19"/>
        <v>0</v>
      </c>
      <c r="J26" s="25"/>
      <c r="K26" s="25"/>
      <c r="L26" s="25"/>
      <c r="M26" s="25"/>
      <c r="N26" s="25"/>
      <c r="O26" s="25"/>
      <c r="P26" s="33"/>
      <c r="Q26" s="30"/>
      <c r="R26" s="25"/>
      <c r="S26" s="25"/>
      <c r="T26" s="25"/>
      <c r="U26" s="25"/>
      <c r="V26" s="25"/>
      <c r="W26" s="25"/>
      <c r="X26" s="25"/>
    </row>
    <row r="27" spans="1:24" x14ac:dyDescent="0.25">
      <c r="A27" s="5" t="s">
        <v>270</v>
      </c>
      <c r="B27" s="2">
        <f>+B260</f>
        <v>3218</v>
      </c>
      <c r="C27" s="2">
        <f t="shared" ref="C27:G27" si="20">+C260</f>
        <v>3424</v>
      </c>
      <c r="D27" s="2">
        <f t="shared" si="20"/>
        <v>3386</v>
      </c>
      <c r="E27" s="2">
        <f t="shared" si="20"/>
        <v>2697</v>
      </c>
      <c r="F27" s="2">
        <f t="shared" si="20"/>
        <v>2952</v>
      </c>
      <c r="G27" s="2">
        <f t="shared" si="20"/>
        <v>2597</v>
      </c>
      <c r="J27" s="26">
        <f t="shared" si="15"/>
        <v>3.5552904002739937E-2</v>
      </c>
      <c r="K27" s="26">
        <f t="shared" si="15"/>
        <v>3.6661884061074589E-2</v>
      </c>
      <c r="L27" s="26">
        <f t="shared" si="15"/>
        <v>3.3917660022037464E-2</v>
      </c>
      <c r="M27" s="26">
        <f t="shared" si="15"/>
        <v>2.6584524396254312E-2</v>
      </c>
      <c r="N27" s="26">
        <f t="shared" si="15"/>
        <v>2.8532490503668049E-2</v>
      </c>
      <c r="O27" s="26">
        <f t="shared" si="15"/>
        <v>2.1625087432968058E-2</v>
      </c>
      <c r="P27" s="33"/>
      <c r="Q27" s="30"/>
      <c r="R27" s="26">
        <f t="shared" si="16"/>
        <v>4.3813280300541678E-2</v>
      </c>
      <c r="S27" s="26">
        <f t="shared" si="17"/>
        <v>5.1368448798014457E-2</v>
      </c>
      <c r="T27" s="26">
        <f t="shared" si="18"/>
        <v>-6.0163551401869159E-2</v>
      </c>
      <c r="U27" s="26">
        <f t="shared" si="18"/>
        <v>1.1222681630242174E-2</v>
      </c>
      <c r="V27" s="26">
        <f t="shared" si="18"/>
        <v>0.25546903967371154</v>
      </c>
      <c r="W27" s="26">
        <f t="shared" si="18"/>
        <v>-8.6382113821138209E-2</v>
      </c>
      <c r="X27" s="26">
        <f t="shared" si="18"/>
        <v>0.13669618790912591</v>
      </c>
    </row>
    <row r="28" spans="1:24" x14ac:dyDescent="0.25">
      <c r="A28" s="2" t="s">
        <v>30</v>
      </c>
      <c r="B28" s="6">
        <f t="shared" ref="B28:G28" si="21">SUM(B23:B27)</f>
        <v>9028</v>
      </c>
      <c r="C28" s="6">
        <f t="shared" si="21"/>
        <v>9064</v>
      </c>
      <c r="D28" s="6">
        <f t="shared" si="21"/>
        <v>8061</v>
      </c>
      <c r="E28" s="6">
        <f t="shared" si="21"/>
        <v>7875</v>
      </c>
      <c r="F28" s="6">
        <f t="shared" si="21"/>
        <v>7503</v>
      </c>
      <c r="G28" s="6">
        <f t="shared" si="21"/>
        <v>10154</v>
      </c>
      <c r="H28" s="30"/>
      <c r="J28" s="25">
        <f t="shared" si="15"/>
        <v>9.9742578414150448E-2</v>
      </c>
      <c r="K28" s="25">
        <f t="shared" si="15"/>
        <v>9.7051202432704459E-2</v>
      </c>
      <c r="L28" s="25">
        <f t="shared" si="15"/>
        <v>8.0747270359611337E-2</v>
      </c>
      <c r="M28" s="25">
        <f t="shared" si="15"/>
        <v>7.7624445539674722E-2</v>
      </c>
      <c r="N28" s="25">
        <f t="shared" si="15"/>
        <v>7.2520080030156295E-2</v>
      </c>
      <c r="O28" s="25">
        <f t="shared" si="15"/>
        <v>8.4551843586583617E-2</v>
      </c>
      <c r="P28" s="33"/>
      <c r="Q28" s="30"/>
      <c r="R28" s="25">
        <f t="shared" si="16"/>
        <v>-2.3233225607619739E-2</v>
      </c>
      <c r="S28" s="25">
        <f t="shared" si="17"/>
        <v>-1.3485133717464421E-2</v>
      </c>
      <c r="T28" s="25">
        <f t="shared" si="18"/>
        <v>-3.9717563989408646E-3</v>
      </c>
      <c r="U28" s="25">
        <f t="shared" si="18"/>
        <v>0.12442624984493239</v>
      </c>
      <c r="V28" s="25">
        <f t="shared" si="18"/>
        <v>2.3619047619047619E-2</v>
      </c>
      <c r="W28" s="25">
        <f t="shared" si="18"/>
        <v>4.9580167932826873E-2</v>
      </c>
      <c r="X28" s="25">
        <f t="shared" si="18"/>
        <v>-0.26107937758518812</v>
      </c>
    </row>
    <row r="29" spans="1:24" x14ac:dyDescent="0.25">
      <c r="A29" s="5" t="s">
        <v>31</v>
      </c>
      <c r="B29" s="2">
        <v>19233</v>
      </c>
      <c r="C29" s="2">
        <v>21061</v>
      </c>
      <c r="D29" s="2">
        <v>28070</v>
      </c>
      <c r="E29" s="2">
        <v>28216</v>
      </c>
      <c r="F29" s="2">
        <v>30770</v>
      </c>
      <c r="G29" s="2">
        <v>28308</v>
      </c>
      <c r="J29" s="25">
        <f t="shared" si="15"/>
        <v>0.21248881376155912</v>
      </c>
      <c r="K29" s="25">
        <f t="shared" si="15"/>
        <v>0.22550699188384693</v>
      </c>
      <c r="L29" s="25">
        <f t="shared" si="15"/>
        <v>0.28117800260442755</v>
      </c>
      <c r="M29" s="25">
        <f t="shared" si="15"/>
        <v>0.27812715623459833</v>
      </c>
      <c r="N29" s="25">
        <f t="shared" si="15"/>
        <v>0.29740675230280011</v>
      </c>
      <c r="O29" s="25">
        <f t="shared" si="15"/>
        <v>0.23571928188388902</v>
      </c>
      <c r="P29" s="33"/>
      <c r="Q29" s="30"/>
      <c r="R29" s="25">
        <f t="shared" si="16"/>
        <v>-7.4390999611951406E-2</v>
      </c>
      <c r="S29" s="25">
        <f t="shared" si="17"/>
        <v>-6.7539619547069094E-2</v>
      </c>
      <c r="T29" s="25">
        <f t="shared" si="18"/>
        <v>-8.6795498789231276E-2</v>
      </c>
      <c r="U29" s="25">
        <f t="shared" si="18"/>
        <v>-0.24969718560741005</v>
      </c>
      <c r="V29" s="25">
        <f t="shared" si="18"/>
        <v>-5.1743691522540399E-3</v>
      </c>
      <c r="W29" s="25">
        <f t="shared" si="18"/>
        <v>-8.3002924926876831E-2</v>
      </c>
      <c r="X29" s="25">
        <f t="shared" si="18"/>
        <v>8.6971880740426735E-2</v>
      </c>
    </row>
    <row r="30" spans="1:24" x14ac:dyDescent="0.25">
      <c r="A30" s="5" t="s">
        <v>271</v>
      </c>
      <c r="B30" s="2">
        <f>+B229</f>
        <v>585</v>
      </c>
      <c r="C30" s="2">
        <f t="shared" ref="C30:G30" si="22">+C229</f>
        <v>484</v>
      </c>
      <c r="D30" s="2">
        <f t="shared" si="22"/>
        <v>475</v>
      </c>
      <c r="E30" s="2">
        <f t="shared" si="22"/>
        <v>454</v>
      </c>
      <c r="F30" s="2">
        <f t="shared" si="22"/>
        <v>0</v>
      </c>
      <c r="G30" s="2">
        <f t="shared" si="22"/>
        <v>0</v>
      </c>
      <c r="J30" s="25"/>
      <c r="K30" s="25"/>
      <c r="L30" s="25"/>
      <c r="M30" s="25"/>
      <c r="N30" s="25"/>
      <c r="O30" s="25"/>
      <c r="P30" s="33"/>
      <c r="Q30" s="30"/>
      <c r="R30" s="25"/>
      <c r="S30" s="25"/>
      <c r="T30" s="25"/>
      <c r="U30" s="25"/>
      <c r="V30" s="25"/>
      <c r="W30" s="25"/>
      <c r="X30" s="25"/>
    </row>
    <row r="31" spans="1:24" x14ac:dyDescent="0.25">
      <c r="A31" s="5" t="s">
        <v>272</v>
      </c>
      <c r="B31" s="2">
        <f>+B267</f>
        <v>12797</v>
      </c>
      <c r="C31" s="2">
        <f t="shared" ref="C31:G31" si="23">+C267</f>
        <v>13333</v>
      </c>
      <c r="D31" s="2">
        <f t="shared" si="23"/>
        <v>12981</v>
      </c>
      <c r="E31" s="2">
        <f t="shared" si="23"/>
        <v>13156</v>
      </c>
      <c r="F31" s="2">
        <f t="shared" si="23"/>
        <v>13410</v>
      </c>
      <c r="G31" s="2">
        <f t="shared" si="23"/>
        <v>15554</v>
      </c>
      <c r="J31" s="26">
        <f t="shared" si="15"/>
        <v>0.14138300575607923</v>
      </c>
      <c r="K31" s="26">
        <f t="shared" si="15"/>
        <v>0.14276077692357111</v>
      </c>
      <c r="L31" s="26">
        <f t="shared" si="15"/>
        <v>0.13003105278974256</v>
      </c>
      <c r="M31" s="26">
        <f t="shared" si="15"/>
        <v>0.12967964514539182</v>
      </c>
      <c r="N31" s="26">
        <f t="shared" si="15"/>
        <v>0.12961405747093108</v>
      </c>
      <c r="O31" s="26">
        <f t="shared" si="15"/>
        <v>0.12951737001632083</v>
      </c>
      <c r="P31" s="33"/>
      <c r="Q31" s="30"/>
      <c r="R31" s="26">
        <f t="shared" si="16"/>
        <v>-3.8269885912254428E-2</v>
      </c>
      <c r="S31" s="26">
        <f t="shared" si="17"/>
        <v>-3.6633961987977935E-2</v>
      </c>
      <c r="T31" s="26">
        <f t="shared" si="18"/>
        <v>-4.0201005025125629E-2</v>
      </c>
      <c r="U31" s="26">
        <f t="shared" si="18"/>
        <v>2.7116554964948771E-2</v>
      </c>
      <c r="V31" s="26">
        <f t="shared" si="18"/>
        <v>-1.330191547582852E-2</v>
      </c>
      <c r="W31" s="26">
        <f t="shared" si="18"/>
        <v>-1.8941088739746457E-2</v>
      </c>
      <c r="X31" s="26">
        <f t="shared" si="18"/>
        <v>-0.13784235566413786</v>
      </c>
    </row>
    <row r="32" spans="1:24" x14ac:dyDescent="0.25">
      <c r="A32" s="2" t="s">
        <v>97</v>
      </c>
      <c r="B32" s="6">
        <f t="shared" ref="B32:G32" si="24">SUM(B28:B31)</f>
        <v>41643</v>
      </c>
      <c r="C32" s="6">
        <f t="shared" si="24"/>
        <v>43942</v>
      </c>
      <c r="D32" s="6">
        <f t="shared" si="24"/>
        <v>49587</v>
      </c>
      <c r="E32" s="6">
        <f t="shared" si="24"/>
        <v>49701</v>
      </c>
      <c r="F32" s="6">
        <f t="shared" si="24"/>
        <v>51683</v>
      </c>
      <c r="G32" s="6">
        <f t="shared" si="24"/>
        <v>54016</v>
      </c>
      <c r="H32" s="30"/>
      <c r="J32" s="25">
        <f t="shared" si="15"/>
        <v>0.46007755791985683</v>
      </c>
      <c r="K32" s="25">
        <f t="shared" si="15"/>
        <v>0.47050131700109216</v>
      </c>
      <c r="L32" s="25">
        <f t="shared" si="15"/>
        <v>0.49671441450465792</v>
      </c>
      <c r="M32" s="25">
        <f t="shared" si="15"/>
        <v>0.48990635781172992</v>
      </c>
      <c r="N32" s="25">
        <f t="shared" si="15"/>
        <v>0.49954088980388744</v>
      </c>
      <c r="O32" s="25">
        <f t="shared" si="15"/>
        <v>0.44978849548679345</v>
      </c>
      <c r="P32" s="33"/>
      <c r="Q32" s="30"/>
      <c r="R32" s="25">
        <f t="shared" si="16"/>
        <v>-5.0699045239239016E-2</v>
      </c>
      <c r="S32" s="25">
        <f t="shared" si="17"/>
        <v>-4.9998615364267002E-2</v>
      </c>
      <c r="T32" s="25">
        <f t="shared" si="18"/>
        <v>-5.231896590960812E-2</v>
      </c>
      <c r="U32" s="25">
        <f t="shared" si="18"/>
        <v>-0.1138403210518886</v>
      </c>
      <c r="V32" s="25">
        <f t="shared" si="18"/>
        <v>-2.2937164242168165E-3</v>
      </c>
      <c r="W32" s="25">
        <f t="shared" si="18"/>
        <v>-3.8349167037517173E-2</v>
      </c>
      <c r="X32" s="25">
        <f t="shared" si="18"/>
        <v>-4.3190906398104266E-2</v>
      </c>
    </row>
    <row r="33" spans="1:24" x14ac:dyDescent="0.25">
      <c r="A33" s="2" t="s">
        <v>98</v>
      </c>
      <c r="B33" s="2">
        <v>40</v>
      </c>
      <c r="C33" s="2">
        <v>4</v>
      </c>
      <c r="D33" s="2">
        <v>0</v>
      </c>
      <c r="E33" s="2">
        <v>0</v>
      </c>
      <c r="F33" s="2">
        <v>3</v>
      </c>
      <c r="G33" s="2">
        <v>6</v>
      </c>
      <c r="J33" s="25">
        <f t="shared" si="15"/>
        <v>4.4192546926960768E-4</v>
      </c>
      <c r="K33" s="25">
        <f t="shared" si="15"/>
        <v>4.2829303809666572E-5</v>
      </c>
      <c r="L33" s="25">
        <f t="shared" si="15"/>
        <v>0</v>
      </c>
      <c r="M33" s="25">
        <f t="shared" si="15"/>
        <v>0</v>
      </c>
      <c r="N33" s="25">
        <f t="shared" si="15"/>
        <v>2.8996433438687043E-5</v>
      </c>
      <c r="O33" s="25">
        <f t="shared" si="15"/>
        <v>4.9961696033041334E-5</v>
      </c>
      <c r="P33" s="33"/>
      <c r="Q33" s="30"/>
      <c r="R33" s="25">
        <f t="shared" si="16"/>
        <v>0.46144255162042197</v>
      </c>
      <c r="S33" s="25">
        <f t="shared" si="17"/>
        <v>2.5</v>
      </c>
      <c r="T33" s="25">
        <f t="shared" si="18"/>
        <v>9</v>
      </c>
      <c r="U33" s="25"/>
      <c r="V33" s="25"/>
      <c r="W33" s="25">
        <f t="shared" si="18"/>
        <v>-1</v>
      </c>
      <c r="X33" s="25">
        <f t="shared" si="18"/>
        <v>-0.5</v>
      </c>
    </row>
    <row r="34" spans="1:24" x14ac:dyDescent="0.25">
      <c r="A34" s="2" t="s">
        <v>106</v>
      </c>
      <c r="B34" s="30">
        <f>+B275</f>
        <v>48830</v>
      </c>
      <c r="C34" s="30">
        <f t="shared" ref="C34:G34" si="25">+C275</f>
        <v>49448</v>
      </c>
      <c r="D34" s="30">
        <f t="shared" si="25"/>
        <v>50243</v>
      </c>
      <c r="E34" s="30">
        <f t="shared" si="25"/>
        <v>51749</v>
      </c>
      <c r="F34" s="30">
        <f t="shared" si="25"/>
        <v>51775</v>
      </c>
      <c r="G34" s="30">
        <f t="shared" si="25"/>
        <v>66070</v>
      </c>
      <c r="H34" s="30"/>
      <c r="J34" s="25">
        <f t="shared" si="15"/>
        <v>0.53948051661087359</v>
      </c>
      <c r="K34" s="25">
        <f t="shared" si="15"/>
        <v>0.52945585369509818</v>
      </c>
      <c r="L34" s="25">
        <f t="shared" si="15"/>
        <v>0.50328558549534208</v>
      </c>
      <c r="M34" s="25">
        <f t="shared" si="15"/>
        <v>0.51009364218827014</v>
      </c>
      <c r="N34" s="25">
        <f t="shared" si="15"/>
        <v>0.50043011376267388</v>
      </c>
      <c r="O34" s="25">
        <f t="shared" si="15"/>
        <v>0.55016154281717355</v>
      </c>
      <c r="P34" s="33"/>
      <c r="Q34" s="30"/>
      <c r="R34" s="25">
        <f t="shared" si="16"/>
        <v>-5.8681739699202047E-2</v>
      </c>
      <c r="S34" s="25">
        <f t="shared" si="17"/>
        <v>-5.4857339349412525E-2</v>
      </c>
      <c r="T34" s="25">
        <f t="shared" si="18"/>
        <v>-1.2497977673515612E-2</v>
      </c>
      <c r="U34" s="25">
        <f t="shared" si="18"/>
        <v>-1.5823099735286509E-2</v>
      </c>
      <c r="V34" s="25">
        <f t="shared" si="18"/>
        <v>-2.9102011633075034E-2</v>
      </c>
      <c r="W34" s="25">
        <f t="shared" si="18"/>
        <v>-5.0217286335103818E-4</v>
      </c>
      <c r="X34" s="25">
        <f t="shared" si="18"/>
        <v>-0.21636143484183443</v>
      </c>
    </row>
    <row r="35" spans="1:24" ht="15.75" thickBot="1" x14ac:dyDescent="0.3">
      <c r="A35" s="2" t="s">
        <v>107</v>
      </c>
      <c r="B35" s="9">
        <f>+B34+B33+B32</f>
        <v>90513</v>
      </c>
      <c r="C35" s="9">
        <f t="shared" ref="C35:G35" si="26">+C34+C33+C32</f>
        <v>93394</v>
      </c>
      <c r="D35" s="9">
        <f t="shared" si="26"/>
        <v>99830</v>
      </c>
      <c r="E35" s="9">
        <f t="shared" si="26"/>
        <v>101450</v>
      </c>
      <c r="F35" s="9">
        <f t="shared" si="26"/>
        <v>103461</v>
      </c>
      <c r="G35" s="9">
        <f t="shared" si="26"/>
        <v>120092</v>
      </c>
      <c r="H35" s="32"/>
      <c r="J35" s="28">
        <f t="shared" si="15"/>
        <v>1</v>
      </c>
      <c r="K35" s="28">
        <f t="shared" si="15"/>
        <v>1</v>
      </c>
      <c r="L35" s="28">
        <f t="shared" si="15"/>
        <v>1</v>
      </c>
      <c r="M35" s="28">
        <f t="shared" si="15"/>
        <v>1</v>
      </c>
      <c r="N35" s="28">
        <f t="shared" si="15"/>
        <v>1</v>
      </c>
      <c r="O35" s="28">
        <f t="shared" si="15"/>
        <v>1</v>
      </c>
      <c r="P35" s="33"/>
      <c r="Q35" s="30"/>
      <c r="R35" s="28">
        <f t="shared" si="16"/>
        <v>-5.4983532564241197E-2</v>
      </c>
      <c r="S35" s="28">
        <f t="shared" si="17"/>
        <v>-5.3841726418039616E-2</v>
      </c>
      <c r="T35" s="28">
        <f t="shared" si="18"/>
        <v>-3.084780606891235E-2</v>
      </c>
      <c r="U35" s="28">
        <f t="shared" si="18"/>
        <v>-6.4469598317139137E-2</v>
      </c>
      <c r="V35" s="28">
        <f t="shared" si="18"/>
        <v>-1.5968457368161656E-2</v>
      </c>
      <c r="W35" s="28">
        <f t="shared" si="18"/>
        <v>-1.9437275881733215E-2</v>
      </c>
      <c r="X35" s="28">
        <f t="shared" si="18"/>
        <v>-0.13848549445425173</v>
      </c>
    </row>
    <row r="36" spans="1:24" ht="15.75" thickTop="1" x14ac:dyDescent="0.25">
      <c r="B36" s="2">
        <f>+B35-B21</f>
        <v>0</v>
      </c>
      <c r="C36" s="2">
        <f t="shared" ref="C36:G36" si="27">+C35-C21</f>
        <v>0</v>
      </c>
      <c r="D36" s="2">
        <f t="shared" si="27"/>
        <v>0</v>
      </c>
      <c r="E36" s="2">
        <f t="shared" si="27"/>
        <v>0</v>
      </c>
      <c r="F36" s="2">
        <f t="shared" si="27"/>
        <v>0</v>
      </c>
      <c r="G36" s="2">
        <f t="shared" si="27"/>
        <v>0</v>
      </c>
      <c r="P36" s="30"/>
      <c r="Q36" s="30"/>
    </row>
    <row r="37" spans="1:24" x14ac:dyDescent="0.25">
      <c r="A37" s="2" t="s">
        <v>108</v>
      </c>
      <c r="B37" s="2">
        <v>1243</v>
      </c>
      <c r="C37" s="2">
        <v>1235</v>
      </c>
      <c r="D37" s="2">
        <v>1228</v>
      </c>
      <c r="E37" s="2">
        <v>1224</v>
      </c>
      <c r="F37" s="2">
        <v>1224</v>
      </c>
      <c r="G37" s="2">
        <v>1221</v>
      </c>
      <c r="P37" s="30"/>
      <c r="Q37" s="30"/>
    </row>
    <row r="38" spans="1:24" x14ac:dyDescent="0.25">
      <c r="A38" s="2" t="s">
        <v>109</v>
      </c>
      <c r="B38" s="2">
        <v>-18</v>
      </c>
      <c r="C38" s="2">
        <v>-11</v>
      </c>
      <c r="D38" s="2">
        <v>-5</v>
      </c>
      <c r="E38" s="2">
        <v>-3</v>
      </c>
      <c r="F38" s="2">
        <v>-4</v>
      </c>
      <c r="G38" s="2">
        <v>-2</v>
      </c>
    </row>
    <row r="39" spans="1:24" ht="15.75" thickBot="1" x14ac:dyDescent="0.3">
      <c r="A39" s="2" t="s">
        <v>110</v>
      </c>
      <c r="B39" s="11">
        <f>+B37+B38</f>
        <v>1225</v>
      </c>
      <c r="C39" s="11">
        <f t="shared" ref="C39:G39" si="28">+C37+C38</f>
        <v>1224</v>
      </c>
      <c r="D39" s="11">
        <f t="shared" si="28"/>
        <v>1223</v>
      </c>
      <c r="E39" s="11">
        <f t="shared" si="28"/>
        <v>1221</v>
      </c>
      <c r="F39" s="11">
        <f t="shared" si="28"/>
        <v>1220</v>
      </c>
      <c r="G39" s="11">
        <f t="shared" si="28"/>
        <v>1219</v>
      </c>
      <c r="H39" s="30"/>
    </row>
    <row r="40" spans="1:24" ht="15.75" thickTop="1" x14ac:dyDescent="0.25">
      <c r="A40" s="2" t="s">
        <v>273</v>
      </c>
      <c r="B40" s="7">
        <v>38.130000000000003</v>
      </c>
      <c r="C40" s="7">
        <v>39.22</v>
      </c>
      <c r="D40" s="7">
        <v>36.380000000000003</v>
      </c>
      <c r="E40" s="7">
        <v>24.77</v>
      </c>
      <c r="F40" s="7">
        <v>33.19</v>
      </c>
      <c r="G40" s="7">
        <v>67.14</v>
      </c>
      <c r="H40" s="7"/>
    </row>
    <row r="41" spans="1:24" x14ac:dyDescent="0.25">
      <c r="A41" s="2" t="s">
        <v>111</v>
      </c>
      <c r="B41" s="8">
        <f>+B39*B40</f>
        <v>46709.25</v>
      </c>
      <c r="C41" s="8">
        <f t="shared" ref="C41:G41" si="29">+C39*C40</f>
        <v>48005.279999999999</v>
      </c>
      <c r="D41" s="8">
        <f t="shared" si="29"/>
        <v>44492.740000000005</v>
      </c>
      <c r="E41" s="8">
        <f t="shared" si="29"/>
        <v>30244.17</v>
      </c>
      <c r="F41" s="8">
        <f t="shared" si="29"/>
        <v>40491.799999999996</v>
      </c>
      <c r="G41" s="8">
        <f t="shared" si="29"/>
        <v>81843.66</v>
      </c>
      <c r="H41" s="8"/>
    </row>
    <row r="43" spans="1:24" s="53" customFormat="1" x14ac:dyDescent="0.25">
      <c r="A43" s="66" t="str">
        <f>+A1</f>
        <v>Kraft Heinz Company</v>
      </c>
      <c r="B43" s="66" t="s">
        <v>261</v>
      </c>
      <c r="C43" s="66"/>
      <c r="D43" s="66"/>
      <c r="E43" s="66"/>
      <c r="F43" s="66"/>
      <c r="G43" s="66"/>
      <c r="H43" s="66"/>
    </row>
    <row r="44" spans="1:24" s="53" customFormat="1" x14ac:dyDescent="0.25">
      <c r="A44" s="66" t="s">
        <v>274</v>
      </c>
      <c r="B44" s="66"/>
      <c r="C44" s="66"/>
      <c r="D44" s="66"/>
      <c r="E44" s="66"/>
      <c r="F44" s="66"/>
      <c r="G44" s="66"/>
      <c r="H44" s="66"/>
    </row>
    <row r="45" spans="1:24" s="53" customFormat="1" x14ac:dyDescent="0.25">
      <c r="A45" s="66" t="str">
        <f>+A3</f>
        <v>in millions except per share data</v>
      </c>
      <c r="B45" s="66"/>
      <c r="C45" s="66"/>
      <c r="D45" s="66"/>
      <c r="E45" s="66"/>
      <c r="F45" s="66" t="s">
        <v>262</v>
      </c>
      <c r="G45" s="72" t="s">
        <v>66</v>
      </c>
      <c r="H45" s="67"/>
    </row>
    <row r="46" spans="1:24" s="53" customFormat="1" ht="15.75" thickBot="1" x14ac:dyDescent="0.3">
      <c r="A46" s="67" t="str">
        <f>+A4</f>
        <v>Fiscal year ended 12/31:</v>
      </c>
      <c r="B46" s="69">
        <v>2022</v>
      </c>
      <c r="C46" s="69">
        <v>2021</v>
      </c>
      <c r="D46" s="69">
        <v>2020</v>
      </c>
      <c r="E46" s="69">
        <v>2019</v>
      </c>
      <c r="F46" s="69">
        <v>2018</v>
      </c>
      <c r="G46" s="69">
        <v>2017</v>
      </c>
      <c r="H46" s="79" t="s">
        <v>275</v>
      </c>
    </row>
    <row r="47" spans="1:24" x14ac:dyDescent="0.25">
      <c r="A47" s="2" t="s">
        <v>276</v>
      </c>
      <c r="B47" s="8">
        <f>+'As Reported'!B68</f>
        <v>2368</v>
      </c>
      <c r="C47" s="8">
        <f>+'As Reported'!C68</f>
        <v>1024</v>
      </c>
      <c r="D47" s="8">
        <f>+'As Reported'!D68</f>
        <v>361</v>
      </c>
      <c r="E47" s="8">
        <f>+'As Reported'!E68</f>
        <v>1933</v>
      </c>
      <c r="F47" s="8">
        <f>+'As Reported'!F68</f>
        <v>-10254</v>
      </c>
      <c r="G47" s="8">
        <f>+'As Reported'!G68</f>
        <v>10932</v>
      </c>
      <c r="H47" s="8">
        <f>SUM(B47:G47)</f>
        <v>6364</v>
      </c>
    </row>
    <row r="48" spans="1:24" x14ac:dyDescent="0.25">
      <c r="A48" s="2" t="s">
        <v>277</v>
      </c>
      <c r="B48" s="2">
        <v>-993</v>
      </c>
      <c r="C48" s="2">
        <v>149</v>
      </c>
      <c r="D48" s="2">
        <v>-78</v>
      </c>
      <c r="E48" s="2">
        <v>-72</v>
      </c>
      <c r="F48" s="2">
        <v>-903</v>
      </c>
      <c r="G48" s="2">
        <v>581</v>
      </c>
      <c r="H48" s="27">
        <f>SUM(B48:G48)</f>
        <v>-1316</v>
      </c>
    </row>
    <row r="49" spans="1:24" x14ac:dyDescent="0.25">
      <c r="A49" s="2" t="s">
        <v>278</v>
      </c>
      <c r="B49" s="6">
        <f t="shared" ref="B49:G49" si="30">SUM(B47:B48)</f>
        <v>1375</v>
      </c>
      <c r="C49" s="6">
        <f t="shared" si="30"/>
        <v>1173</v>
      </c>
      <c r="D49" s="6">
        <f t="shared" si="30"/>
        <v>283</v>
      </c>
      <c r="E49" s="6">
        <f t="shared" si="30"/>
        <v>1861</v>
      </c>
      <c r="F49" s="6">
        <f t="shared" si="30"/>
        <v>-11157</v>
      </c>
      <c r="G49" s="6">
        <f t="shared" si="30"/>
        <v>11513</v>
      </c>
      <c r="H49" s="2">
        <f t="shared" ref="H49:H52" si="31">SUM(B49:G49)</f>
        <v>5048</v>
      </c>
    </row>
    <row r="50" spans="1:24" x14ac:dyDescent="0.25">
      <c r="A50" s="2" t="s">
        <v>55</v>
      </c>
      <c r="B50" s="2">
        <v>-1972</v>
      </c>
      <c r="C50" s="2">
        <v>-1979</v>
      </c>
      <c r="D50" s="2">
        <v>-1973</v>
      </c>
      <c r="E50" s="2">
        <v>-1959</v>
      </c>
      <c r="F50" s="2">
        <v>-3048</v>
      </c>
      <c r="G50" s="2">
        <v>-2988</v>
      </c>
      <c r="H50" s="2">
        <f t="shared" si="31"/>
        <v>-13919</v>
      </c>
    </row>
    <row r="51" spans="1:24" x14ac:dyDescent="0.25">
      <c r="A51" s="2" t="s">
        <v>279</v>
      </c>
      <c r="B51" s="27">
        <f t="shared" ref="B51:G51" si="32">+B52-SUM(B49:B50)</f>
        <v>-21</v>
      </c>
      <c r="C51" s="27">
        <f t="shared" si="32"/>
        <v>11</v>
      </c>
      <c r="D51" s="27">
        <f t="shared" si="32"/>
        <v>184</v>
      </c>
      <c r="E51" s="27">
        <f t="shared" si="32"/>
        <v>72</v>
      </c>
      <c r="F51" s="27">
        <f t="shared" si="32"/>
        <v>-90</v>
      </c>
      <c r="G51" s="27">
        <f t="shared" si="32"/>
        <v>85</v>
      </c>
      <c r="H51" s="27">
        <f t="shared" si="31"/>
        <v>241</v>
      </c>
    </row>
    <row r="52" spans="1:24" x14ac:dyDescent="0.25">
      <c r="A52" s="2" t="s">
        <v>280</v>
      </c>
      <c r="B52" s="2">
        <f>+B54-B53</f>
        <v>-618</v>
      </c>
      <c r="C52" s="2">
        <f t="shared" ref="C52:G52" si="33">+C54-C53</f>
        <v>-795</v>
      </c>
      <c r="D52" s="2">
        <f t="shared" si="33"/>
        <v>-1506</v>
      </c>
      <c r="E52" s="2">
        <f t="shared" si="33"/>
        <v>-26</v>
      </c>
      <c r="F52" s="2">
        <f t="shared" si="33"/>
        <v>-14295</v>
      </c>
      <c r="G52" s="2">
        <f t="shared" si="33"/>
        <v>8610</v>
      </c>
      <c r="H52" s="2">
        <f t="shared" si="31"/>
        <v>-8630</v>
      </c>
    </row>
    <row r="53" spans="1:24" x14ac:dyDescent="0.25">
      <c r="A53" s="2" t="s">
        <v>281</v>
      </c>
      <c r="B53" s="2">
        <f t="shared" ref="B53:E53" si="34">+C54</f>
        <v>49448</v>
      </c>
      <c r="C53" s="2">
        <f t="shared" si="34"/>
        <v>50243</v>
      </c>
      <c r="D53" s="2">
        <f t="shared" si="34"/>
        <v>51749</v>
      </c>
      <c r="E53" s="2">
        <f t="shared" si="34"/>
        <v>51775</v>
      </c>
      <c r="F53" s="2">
        <f>+G54</f>
        <v>66070</v>
      </c>
      <c r="G53" s="2">
        <v>57460</v>
      </c>
      <c r="H53" s="2">
        <f>+G53</f>
        <v>57460</v>
      </c>
    </row>
    <row r="54" spans="1:24" ht="15.75" thickBot="1" x14ac:dyDescent="0.3">
      <c r="A54" s="2" t="s">
        <v>282</v>
      </c>
      <c r="B54" s="9">
        <f t="shared" ref="B54:G54" si="35">+B34</f>
        <v>48830</v>
      </c>
      <c r="C54" s="9">
        <f t="shared" si="35"/>
        <v>49448</v>
      </c>
      <c r="D54" s="9">
        <f t="shared" si="35"/>
        <v>50243</v>
      </c>
      <c r="E54" s="9">
        <f t="shared" si="35"/>
        <v>51749</v>
      </c>
      <c r="F54" s="9">
        <f t="shared" si="35"/>
        <v>51775</v>
      </c>
      <c r="G54" s="9">
        <f t="shared" si="35"/>
        <v>66070</v>
      </c>
      <c r="H54" s="9">
        <f>++H52+H53</f>
        <v>48830</v>
      </c>
    </row>
    <row r="55" spans="1:24" ht="15.75" thickTop="1" x14ac:dyDescent="0.25"/>
    <row r="56" spans="1:24" s="53" customFormat="1" x14ac:dyDescent="0.25">
      <c r="A56" s="66" t="str">
        <f>+A1</f>
        <v>Kraft Heinz Company</v>
      </c>
      <c r="B56" s="66" t="str">
        <f>+B1</f>
        <v>Reclassified</v>
      </c>
      <c r="C56" s="66"/>
      <c r="D56" s="66"/>
      <c r="E56" s="66"/>
      <c r="F56" s="66"/>
      <c r="G56" s="66"/>
      <c r="H56" s="66"/>
      <c r="J56" s="66" t="str">
        <f>+B56</f>
        <v>Reclassified</v>
      </c>
      <c r="K56" s="66"/>
      <c r="L56" s="66"/>
      <c r="M56" s="66"/>
      <c r="N56" s="66"/>
      <c r="O56" s="66"/>
      <c r="P56" s="66"/>
      <c r="R56" s="66" t="str">
        <f>+B56</f>
        <v>Reclassified</v>
      </c>
      <c r="S56" s="66"/>
      <c r="T56" s="66"/>
      <c r="U56" s="66"/>
      <c r="V56" s="66"/>
      <c r="W56" s="66"/>
      <c r="X56" s="66"/>
    </row>
    <row r="57" spans="1:24" s="53" customFormat="1" x14ac:dyDescent="0.25">
      <c r="A57" s="66" t="s">
        <v>112</v>
      </c>
      <c r="B57" s="66"/>
      <c r="C57" s="66"/>
      <c r="D57" s="66"/>
      <c r="E57" s="66"/>
      <c r="F57" s="66"/>
      <c r="G57" s="66"/>
      <c r="H57" s="66"/>
      <c r="J57" s="66" t="s">
        <v>113</v>
      </c>
      <c r="K57" s="66"/>
      <c r="L57" s="66"/>
      <c r="M57" s="66"/>
      <c r="N57" s="66"/>
      <c r="O57" s="66"/>
      <c r="P57" s="66"/>
      <c r="R57" s="66" t="s">
        <v>63</v>
      </c>
      <c r="S57" s="66"/>
      <c r="T57" s="66"/>
      <c r="U57" s="66"/>
      <c r="V57" s="66"/>
      <c r="W57" s="66"/>
      <c r="X57" s="66"/>
    </row>
    <row r="58" spans="1:24" s="53" customFormat="1" x14ac:dyDescent="0.25">
      <c r="A58" s="66" t="str">
        <f>+A3</f>
        <v>in millions except per share data</v>
      </c>
      <c r="B58" s="66"/>
      <c r="C58" s="66"/>
      <c r="D58" s="66"/>
      <c r="E58" s="66"/>
      <c r="F58" s="66" t="s">
        <v>262</v>
      </c>
      <c r="G58" s="72" t="s">
        <v>66</v>
      </c>
      <c r="H58" s="67"/>
      <c r="J58" s="66"/>
      <c r="K58" s="66"/>
      <c r="L58" s="66"/>
      <c r="M58" s="66"/>
      <c r="N58" s="66"/>
      <c r="O58" s="72" t="s">
        <v>66</v>
      </c>
      <c r="P58" s="67"/>
      <c r="R58" s="66" t="s">
        <v>67</v>
      </c>
      <c r="S58" s="66" t="s">
        <v>68</v>
      </c>
      <c r="T58" s="66" t="s">
        <v>69</v>
      </c>
      <c r="U58" s="66" t="s">
        <v>70</v>
      </c>
      <c r="V58" s="66" t="s">
        <v>71</v>
      </c>
      <c r="W58" s="66" t="s">
        <v>72</v>
      </c>
      <c r="X58" s="66" t="s">
        <v>73</v>
      </c>
    </row>
    <row r="59" spans="1:24" s="53" customFormat="1" ht="15.75" thickBot="1" x14ac:dyDescent="0.3">
      <c r="A59" s="67" t="str">
        <f>+A4</f>
        <v>Fiscal year ended 12/31:</v>
      </c>
      <c r="B59" s="69">
        <v>2022</v>
      </c>
      <c r="C59" s="69">
        <v>2021</v>
      </c>
      <c r="D59" s="69">
        <v>2020</v>
      </c>
      <c r="E59" s="69">
        <v>2019</v>
      </c>
      <c r="F59" s="69">
        <v>2018</v>
      </c>
      <c r="G59" s="69">
        <v>2017</v>
      </c>
      <c r="H59" s="69" t="s">
        <v>275</v>
      </c>
      <c r="J59" s="69">
        <v>2022</v>
      </c>
      <c r="K59" s="69">
        <v>2021</v>
      </c>
      <c r="L59" s="69">
        <v>2020</v>
      </c>
      <c r="M59" s="69">
        <v>2019</v>
      </c>
      <c r="N59" s="69">
        <v>2018</v>
      </c>
      <c r="O59" s="69">
        <v>2017</v>
      </c>
      <c r="P59" s="79" t="s">
        <v>275</v>
      </c>
      <c r="R59" s="70" t="s">
        <v>75</v>
      </c>
      <c r="S59" s="70" t="s">
        <v>76</v>
      </c>
      <c r="T59" s="71">
        <v>2022</v>
      </c>
      <c r="U59" s="71">
        <v>2021</v>
      </c>
      <c r="V59" s="71">
        <v>2020</v>
      </c>
      <c r="W59" s="71">
        <v>2019</v>
      </c>
      <c r="X59" s="71">
        <v>2018</v>
      </c>
    </row>
    <row r="60" spans="1:24" x14ac:dyDescent="0.25">
      <c r="A60" s="2" t="s">
        <v>115</v>
      </c>
      <c r="B60" s="8">
        <v>26485</v>
      </c>
      <c r="C60" s="8">
        <v>26042</v>
      </c>
      <c r="D60" s="8">
        <v>26185</v>
      </c>
      <c r="E60" s="8">
        <v>24977</v>
      </c>
      <c r="F60" s="8">
        <v>26268</v>
      </c>
      <c r="G60" s="8">
        <v>26076</v>
      </c>
      <c r="H60" s="8">
        <f>SUM(B60:G60)</f>
        <v>156033</v>
      </c>
      <c r="J60" s="25">
        <f t="shared" ref="J60:P75" si="36">+B60/B$60</f>
        <v>1</v>
      </c>
      <c r="K60" s="25">
        <f t="shared" si="36"/>
        <v>1</v>
      </c>
      <c r="L60" s="25">
        <f t="shared" si="36"/>
        <v>1</v>
      </c>
      <c r="M60" s="25">
        <f t="shared" si="36"/>
        <v>1</v>
      </c>
      <c r="N60" s="25">
        <f t="shared" si="36"/>
        <v>1</v>
      </c>
      <c r="O60" s="25">
        <f t="shared" si="36"/>
        <v>1</v>
      </c>
      <c r="P60" s="25">
        <f t="shared" si="36"/>
        <v>1</v>
      </c>
      <c r="R60" s="25">
        <f t="shared" ref="R60:R150" si="37">RATE(5,0,-G60,B60)</f>
        <v>3.1174860707707231E-3</v>
      </c>
      <c r="S60" s="25">
        <f t="shared" ref="S60:S151" si="38">AVERAGE(T60:X60)</f>
        <v>3.626035362061633E-3</v>
      </c>
      <c r="T60" s="25">
        <f t="shared" ref="T60:X63" si="39">(+B60-C60)/C60</f>
        <v>1.7010982259427078E-2</v>
      </c>
      <c r="U60" s="25">
        <f t="shared" si="39"/>
        <v>-5.4611418751193434E-3</v>
      </c>
      <c r="V60" s="25">
        <f t="shared" si="39"/>
        <v>4.836449533570885E-2</v>
      </c>
      <c r="W60" s="25">
        <f t="shared" si="39"/>
        <v>-4.914725140855794E-2</v>
      </c>
      <c r="X60" s="25">
        <f t="shared" si="39"/>
        <v>7.3630924988495172E-3</v>
      </c>
    </row>
    <row r="61" spans="1:24" x14ac:dyDescent="0.25">
      <c r="A61" s="5" t="s">
        <v>116</v>
      </c>
      <c r="B61" s="2">
        <v>18363</v>
      </c>
      <c r="C61" s="2">
        <v>17360</v>
      </c>
      <c r="D61" s="2">
        <v>17008</v>
      </c>
      <c r="E61" s="2">
        <v>16830</v>
      </c>
      <c r="F61" s="2">
        <v>17347</v>
      </c>
      <c r="G61" s="2">
        <v>17043</v>
      </c>
      <c r="H61" s="2">
        <f>SUM(B61:G61)</f>
        <v>103951</v>
      </c>
      <c r="J61" s="26">
        <f t="shared" si="36"/>
        <v>0.69333585048140456</v>
      </c>
      <c r="K61" s="26">
        <f t="shared" si="36"/>
        <v>0.66661546732201826</v>
      </c>
      <c r="L61" s="26">
        <f t="shared" si="36"/>
        <v>0.64953217490929926</v>
      </c>
      <c r="M61" s="26">
        <f t="shared" si="36"/>
        <v>0.67381991432117549</v>
      </c>
      <c r="N61" s="26">
        <f t="shared" si="36"/>
        <v>0.66038525963149075</v>
      </c>
      <c r="O61" s="26">
        <f t="shared" si="36"/>
        <v>0.65358950759318912</v>
      </c>
      <c r="P61" s="26">
        <f t="shared" si="36"/>
        <v>0.66621163471829681</v>
      </c>
      <c r="Q61" s="30"/>
      <c r="R61" s="26">
        <f t="shared" si="37"/>
        <v>1.5031495091144084E-2</v>
      </c>
      <c r="S61" s="26">
        <f t="shared" si="38"/>
        <v>1.5416560689107845E-2</v>
      </c>
      <c r="T61" s="26">
        <f t="shared" si="39"/>
        <v>5.7776497695852531E-2</v>
      </c>
      <c r="U61" s="26">
        <f t="shared" si="39"/>
        <v>2.0696142991533398E-2</v>
      </c>
      <c r="V61" s="26">
        <f t="shared" si="39"/>
        <v>1.057635175282234E-2</v>
      </c>
      <c r="W61" s="26">
        <f t="shared" si="39"/>
        <v>-2.9803424223208624E-2</v>
      </c>
      <c r="X61" s="26">
        <f t="shared" si="39"/>
        <v>1.7837235228539576E-2</v>
      </c>
    </row>
    <row r="62" spans="1:24" x14ac:dyDescent="0.25">
      <c r="A62" s="2" t="s">
        <v>117</v>
      </c>
      <c r="B62" s="6">
        <f>+B60-B61</f>
        <v>8122</v>
      </c>
      <c r="C62" s="6">
        <f t="shared" ref="C62:G62" si="40">+C60-C61</f>
        <v>8682</v>
      </c>
      <c r="D62" s="6">
        <f t="shared" si="40"/>
        <v>9177</v>
      </c>
      <c r="E62" s="6">
        <f t="shared" si="40"/>
        <v>8147</v>
      </c>
      <c r="F62" s="6">
        <f t="shared" si="40"/>
        <v>8921</v>
      </c>
      <c r="G62" s="6">
        <f t="shared" si="40"/>
        <v>9033</v>
      </c>
      <c r="H62" s="6">
        <f t="shared" ref="H62:H76" si="41">SUM(B62:G62)</f>
        <v>52082</v>
      </c>
      <c r="J62" s="25">
        <f t="shared" si="36"/>
        <v>0.30666414951859544</v>
      </c>
      <c r="K62" s="25">
        <f t="shared" si="36"/>
        <v>0.33338453267798174</v>
      </c>
      <c r="L62" s="25">
        <f t="shared" si="36"/>
        <v>0.35046782509070079</v>
      </c>
      <c r="M62" s="25">
        <f t="shared" si="36"/>
        <v>0.32618008567882451</v>
      </c>
      <c r="N62" s="25">
        <f t="shared" si="36"/>
        <v>0.33961474036850919</v>
      </c>
      <c r="O62" s="25">
        <f t="shared" si="36"/>
        <v>0.34641049240681088</v>
      </c>
      <c r="P62" s="25">
        <f t="shared" si="36"/>
        <v>0.33378836528170325</v>
      </c>
      <c r="Q62" s="30"/>
      <c r="R62" s="25">
        <f t="shared" si="37"/>
        <v>-2.1037186930892088E-2</v>
      </c>
      <c r="S62" s="25">
        <f t="shared" si="38"/>
        <v>-1.8234822504439984E-2</v>
      </c>
      <c r="T62" s="25">
        <f t="shared" si="39"/>
        <v>-6.4501266989172995E-2</v>
      </c>
      <c r="U62" s="25">
        <f t="shared" si="39"/>
        <v>-5.393919581562602E-2</v>
      </c>
      <c r="V62" s="25">
        <f t="shared" si="39"/>
        <v>0.12642690560942679</v>
      </c>
      <c r="W62" s="25">
        <f t="shared" si="39"/>
        <v>-8.6761573814594775E-2</v>
      </c>
      <c r="X62" s="25">
        <f t="shared" si="39"/>
        <v>-1.2398981512232924E-2</v>
      </c>
    </row>
    <row r="63" spans="1:24" x14ac:dyDescent="0.25">
      <c r="A63" s="5" t="s">
        <v>283</v>
      </c>
      <c r="B63" s="2">
        <f>+B280</f>
        <v>2503</v>
      </c>
      <c r="C63" s="2">
        <f t="shared" ref="C63:G63" si="42">+C280</f>
        <v>2409</v>
      </c>
      <c r="D63" s="2">
        <f t="shared" si="42"/>
        <v>2461</v>
      </c>
      <c r="E63" s="2">
        <f t="shared" si="42"/>
        <v>1966</v>
      </c>
      <c r="F63" s="2">
        <f t="shared" si="42"/>
        <v>1941</v>
      </c>
      <c r="G63" s="2">
        <f t="shared" si="42"/>
        <v>1719</v>
      </c>
      <c r="H63" s="2">
        <f t="shared" si="41"/>
        <v>12999</v>
      </c>
      <c r="J63" s="25">
        <f t="shared" si="36"/>
        <v>9.4506324334528977E-2</v>
      </c>
      <c r="K63" s="25">
        <f t="shared" si="36"/>
        <v>9.2504415943475929E-2</v>
      </c>
      <c r="L63" s="25">
        <f t="shared" si="36"/>
        <v>9.3985105976704217E-2</v>
      </c>
      <c r="M63" s="25">
        <f t="shared" si="36"/>
        <v>7.8712415422188417E-2</v>
      </c>
      <c r="N63" s="25">
        <f t="shared" si="36"/>
        <v>7.3892188213796256E-2</v>
      </c>
      <c r="O63" s="25">
        <f t="shared" si="36"/>
        <v>6.5922687528762083E-2</v>
      </c>
      <c r="P63" s="25">
        <f t="shared" si="36"/>
        <v>8.3309299955778585E-2</v>
      </c>
      <c r="Q63" s="30"/>
      <c r="R63" s="25">
        <f t="shared" si="37"/>
        <v>7.8045260485801612E-2</v>
      </c>
      <c r="S63" s="25">
        <f t="shared" si="38"/>
        <v>8.2339158644776006E-2</v>
      </c>
      <c r="T63" s="25">
        <f t="shared" si="39"/>
        <v>3.9020340390203405E-2</v>
      </c>
      <c r="U63" s="25">
        <f t="shared" si="39"/>
        <v>-2.1129622104835433E-2</v>
      </c>
      <c r="V63" s="25">
        <f t="shared" si="39"/>
        <v>0.25178026449643948</v>
      </c>
      <c r="W63" s="25">
        <f t="shared" si="39"/>
        <v>1.287995878413189E-2</v>
      </c>
      <c r="X63" s="25">
        <f t="shared" si="39"/>
        <v>0.12914485165794065</v>
      </c>
    </row>
    <row r="64" spans="1:24" x14ac:dyDescent="0.25">
      <c r="A64" s="5" t="s">
        <v>284</v>
      </c>
      <c r="B64" s="2">
        <f>+B215</f>
        <v>945</v>
      </c>
      <c r="C64" s="2">
        <f t="shared" ref="C64:G65" si="43">+C215</f>
        <v>1039</v>
      </c>
      <c r="D64" s="2">
        <f t="shared" si="43"/>
        <v>1070</v>
      </c>
      <c r="E64" s="2">
        <f t="shared" si="43"/>
        <v>1100</v>
      </c>
      <c r="F64" s="2">
        <f t="shared" si="43"/>
        <v>1140</v>
      </c>
      <c r="G64" s="2">
        <f t="shared" si="43"/>
        <v>1115</v>
      </c>
      <c r="H64" s="2">
        <f t="shared" si="41"/>
        <v>6409</v>
      </c>
      <c r="J64" s="25">
        <f t="shared" si="36"/>
        <v>3.568057390976024E-2</v>
      </c>
      <c r="K64" s="25">
        <f t="shared" si="36"/>
        <v>3.9897089317256738E-2</v>
      </c>
      <c r="L64" s="25">
        <f t="shared" si="36"/>
        <v>4.0863089555088793E-2</v>
      </c>
      <c r="M64" s="25">
        <f t="shared" si="36"/>
        <v>4.4040517275893823E-2</v>
      </c>
      <c r="N64" s="25">
        <f t="shared" si="36"/>
        <v>4.3398812243033345E-2</v>
      </c>
      <c r="O64" s="25">
        <f t="shared" si="36"/>
        <v>4.2759625709464642E-2</v>
      </c>
      <c r="P64" s="25">
        <f t="shared" si="36"/>
        <v>4.1074644466234704E-2</v>
      </c>
      <c r="Q64" s="30"/>
      <c r="R64" s="25"/>
      <c r="S64" s="25"/>
      <c r="T64" s="25"/>
      <c r="U64" s="25"/>
      <c r="V64" s="25"/>
      <c r="W64" s="25"/>
      <c r="X64" s="25"/>
    </row>
    <row r="65" spans="1:24" x14ac:dyDescent="0.25">
      <c r="A65" s="5" t="s">
        <v>285</v>
      </c>
      <c r="B65" s="2">
        <f>+B216</f>
        <v>127</v>
      </c>
      <c r="C65" s="2">
        <f t="shared" si="43"/>
        <v>140</v>
      </c>
      <c r="D65" s="2">
        <f t="shared" si="43"/>
        <v>119</v>
      </c>
      <c r="E65" s="2">
        <f t="shared" si="43"/>
        <v>112</v>
      </c>
      <c r="F65" s="2">
        <f t="shared" si="43"/>
        <v>109</v>
      </c>
      <c r="G65" s="2">
        <f t="shared" si="43"/>
        <v>93</v>
      </c>
      <c r="H65" s="2">
        <f t="shared" si="41"/>
        <v>700</v>
      </c>
      <c r="J65" s="25">
        <f t="shared" si="36"/>
        <v>4.7951670757032279E-3</v>
      </c>
      <c r="K65" s="25">
        <f t="shared" si="36"/>
        <v>5.3759311880807927E-3</v>
      </c>
      <c r="L65" s="25">
        <f t="shared" si="36"/>
        <v>4.544586595379034E-3</v>
      </c>
      <c r="M65" s="25">
        <f t="shared" si="36"/>
        <v>4.4841253953637342E-3</v>
      </c>
      <c r="N65" s="25">
        <f t="shared" si="36"/>
        <v>4.1495355565707324E-3</v>
      </c>
      <c r="O65" s="25">
        <f t="shared" si="36"/>
        <v>3.5664979291302346E-3</v>
      </c>
      <c r="P65" s="25">
        <f t="shared" si="36"/>
        <v>4.4862304768862995E-3</v>
      </c>
      <c r="Q65" s="30"/>
      <c r="R65" s="25"/>
      <c r="S65" s="25"/>
      <c r="T65" s="25"/>
      <c r="U65" s="25"/>
      <c r="V65" s="25"/>
      <c r="W65" s="25"/>
      <c r="X65" s="25"/>
    </row>
    <row r="66" spans="1:24" x14ac:dyDescent="0.25">
      <c r="A66" s="5" t="s">
        <v>119</v>
      </c>
      <c r="B66" s="2">
        <v>444</v>
      </c>
      <c r="C66" s="2">
        <v>318</v>
      </c>
      <c r="D66" s="2">
        <v>2343</v>
      </c>
      <c r="E66" s="2">
        <v>1197</v>
      </c>
      <c r="F66" s="2">
        <v>7008</v>
      </c>
      <c r="G66" s="2">
        <v>0</v>
      </c>
      <c r="H66" s="2">
        <f t="shared" si="41"/>
        <v>11310</v>
      </c>
      <c r="J66" s="25">
        <f t="shared" si="36"/>
        <v>1.6764206154427034E-2</v>
      </c>
      <c r="K66" s="25">
        <f t="shared" si="36"/>
        <v>1.2211043698640657E-2</v>
      </c>
      <c r="L66" s="25">
        <f t="shared" si="36"/>
        <v>8.9478709184647703E-2</v>
      </c>
      <c r="M66" s="25">
        <f t="shared" si="36"/>
        <v>4.7924090162949913E-2</v>
      </c>
      <c r="N66" s="25">
        <f t="shared" si="36"/>
        <v>0.26678848789401555</v>
      </c>
      <c r="O66" s="25">
        <f t="shared" si="36"/>
        <v>0</v>
      </c>
      <c r="P66" s="25">
        <f t="shared" si="36"/>
        <v>7.2484666705120077E-2</v>
      </c>
      <c r="Q66" s="30"/>
      <c r="R66" s="25"/>
      <c r="S66" s="25">
        <f t="shared" si="38"/>
        <v>-8.4962968794439958E-2</v>
      </c>
      <c r="T66" s="25">
        <f t="shared" ref="T66:X76" si="44">(+B66-C66)/C66</f>
        <v>0.39622641509433965</v>
      </c>
      <c r="U66" s="25">
        <f t="shared" si="44"/>
        <v>-0.86427656850192058</v>
      </c>
      <c r="V66" s="25">
        <f t="shared" si="44"/>
        <v>0.95739348370927313</v>
      </c>
      <c r="W66" s="25">
        <f t="shared" si="44"/>
        <v>-0.82919520547945202</v>
      </c>
      <c r="X66" s="25"/>
    </row>
    <row r="67" spans="1:24" x14ac:dyDescent="0.25">
      <c r="A67" s="5" t="s">
        <v>120</v>
      </c>
      <c r="B67" s="2">
        <v>469</v>
      </c>
      <c r="C67" s="2">
        <v>1316</v>
      </c>
      <c r="D67" s="2">
        <v>1056</v>
      </c>
      <c r="E67" s="2">
        <v>702</v>
      </c>
      <c r="F67" s="2">
        <v>8928</v>
      </c>
      <c r="G67" s="2">
        <v>49</v>
      </c>
      <c r="H67" s="2">
        <f t="shared" si="41"/>
        <v>12520</v>
      </c>
      <c r="J67" s="26">
        <f t="shared" si="36"/>
        <v>1.7708136681140269E-2</v>
      </c>
      <c r="K67" s="26">
        <f t="shared" si="36"/>
        <v>5.0533753167959453E-2</v>
      </c>
      <c r="L67" s="26">
        <f t="shared" si="36"/>
        <v>4.0328432308573609E-2</v>
      </c>
      <c r="M67" s="26">
        <f t="shared" si="36"/>
        <v>2.8105857388797693E-2</v>
      </c>
      <c r="N67" s="26">
        <f t="shared" si="36"/>
        <v>0.33988122430333484</v>
      </c>
      <c r="O67" s="26">
        <f t="shared" si="36"/>
        <v>1.8791225648105538E-3</v>
      </c>
      <c r="P67" s="26">
        <f t="shared" si="36"/>
        <v>8.0239436529452104E-2</v>
      </c>
      <c r="Q67" s="30"/>
      <c r="R67" s="26">
        <f t="shared" si="37"/>
        <v>0.57106933729090092</v>
      </c>
      <c r="S67" s="26">
        <f t="shared" si="38"/>
        <v>36.077915853824031</v>
      </c>
      <c r="T67" s="26">
        <f t="shared" si="44"/>
        <v>-0.6436170212765957</v>
      </c>
      <c r="U67" s="26">
        <f t="shared" si="44"/>
        <v>0.24621212121212122</v>
      </c>
      <c r="V67" s="26">
        <f t="shared" si="44"/>
        <v>0.50427350427350426</v>
      </c>
      <c r="W67" s="26">
        <f t="shared" si="44"/>
        <v>-0.9213709677419355</v>
      </c>
      <c r="X67" s="26">
        <f t="shared" si="44"/>
        <v>181.20408163265307</v>
      </c>
    </row>
    <row r="68" spans="1:24" x14ac:dyDescent="0.25">
      <c r="A68" s="12" t="s">
        <v>121</v>
      </c>
      <c r="B68" s="10">
        <f>SUM(B63:B67)</f>
        <v>4488</v>
      </c>
      <c r="C68" s="10">
        <f t="shared" ref="C68:G68" si="45">SUM(C63:C67)</f>
        <v>5222</v>
      </c>
      <c r="D68" s="10">
        <f t="shared" si="45"/>
        <v>7049</v>
      </c>
      <c r="E68" s="10">
        <f t="shared" si="45"/>
        <v>5077</v>
      </c>
      <c r="F68" s="10">
        <f t="shared" si="45"/>
        <v>19126</v>
      </c>
      <c r="G68" s="10">
        <f t="shared" si="45"/>
        <v>2976</v>
      </c>
      <c r="H68" s="10">
        <f t="shared" si="41"/>
        <v>43938</v>
      </c>
      <c r="J68" s="26">
        <f t="shared" si="36"/>
        <v>0.16945440815555976</v>
      </c>
      <c r="K68" s="26">
        <f t="shared" si="36"/>
        <v>0.20052223331541355</v>
      </c>
      <c r="L68" s="26">
        <f t="shared" si="36"/>
        <v>0.26919992362039336</v>
      </c>
      <c r="M68" s="26">
        <f t="shared" si="36"/>
        <v>0.20326700564519357</v>
      </c>
      <c r="N68" s="26">
        <f t="shared" si="36"/>
        <v>0.72811024821075077</v>
      </c>
      <c r="O68" s="26">
        <f t="shared" si="36"/>
        <v>0.11412793373216751</v>
      </c>
      <c r="P68" s="26">
        <f t="shared" si="36"/>
        <v>0.28159427813347176</v>
      </c>
      <c r="Q68" s="30"/>
      <c r="R68" s="26">
        <f t="shared" si="37"/>
        <v>8.5635370196636043E-2</v>
      </c>
      <c r="S68" s="26">
        <f t="shared" si="38"/>
        <v>0.93617419376710242</v>
      </c>
      <c r="T68" s="26">
        <f t="shared" si="44"/>
        <v>-0.14055917273075449</v>
      </c>
      <c r="U68" s="26">
        <f t="shared" si="44"/>
        <v>-0.25918570009930486</v>
      </c>
      <c r="V68" s="26">
        <f t="shared" si="44"/>
        <v>0.3884183572976167</v>
      </c>
      <c r="W68" s="26">
        <f t="shared" si="44"/>
        <v>-0.73454982746000208</v>
      </c>
      <c r="X68" s="26">
        <f t="shared" si="44"/>
        <v>5.426747311827957</v>
      </c>
    </row>
    <row r="69" spans="1:24" x14ac:dyDescent="0.25">
      <c r="A69" s="2" t="s">
        <v>122</v>
      </c>
      <c r="B69" s="2">
        <f>+B62-B68</f>
        <v>3634</v>
      </c>
      <c r="C69" s="2">
        <f t="shared" ref="C69:G69" si="46">+C62-C68</f>
        <v>3460</v>
      </c>
      <c r="D69" s="2">
        <f t="shared" si="46"/>
        <v>2128</v>
      </c>
      <c r="E69" s="2">
        <f t="shared" si="46"/>
        <v>3070</v>
      </c>
      <c r="F69" s="2">
        <f t="shared" si="46"/>
        <v>-10205</v>
      </c>
      <c r="G69" s="2">
        <f t="shared" si="46"/>
        <v>6057</v>
      </c>
      <c r="H69" s="2">
        <f t="shared" si="41"/>
        <v>8144</v>
      </c>
      <c r="J69" s="25">
        <f t="shared" si="36"/>
        <v>0.13720974136303568</v>
      </c>
      <c r="K69" s="25">
        <f t="shared" si="36"/>
        <v>0.13286229936256816</v>
      </c>
      <c r="L69" s="25">
        <f t="shared" si="36"/>
        <v>8.1267901470307422E-2</v>
      </c>
      <c r="M69" s="25">
        <f t="shared" si="36"/>
        <v>0.12291308003363094</v>
      </c>
      <c r="N69" s="25">
        <f t="shared" si="36"/>
        <v>-0.38849550784224152</v>
      </c>
      <c r="O69" s="25">
        <f t="shared" si="36"/>
        <v>0.23228255867464334</v>
      </c>
      <c r="P69" s="25">
        <f t="shared" si="36"/>
        <v>5.2194087148231462E-2</v>
      </c>
      <c r="Q69" s="30"/>
      <c r="R69" s="25">
        <f t="shared" si="37"/>
        <v>-9.7129486369166726E-2</v>
      </c>
      <c r="S69" s="25">
        <f t="shared" si="38"/>
        <v>-0.72325438425943411</v>
      </c>
      <c r="T69" s="25">
        <f t="shared" si="44"/>
        <v>5.0289017341040465E-2</v>
      </c>
      <c r="U69" s="25">
        <f t="shared" si="44"/>
        <v>0.62593984962406013</v>
      </c>
      <c r="V69" s="25">
        <f t="shared" si="44"/>
        <v>-0.30684039087947884</v>
      </c>
      <c r="W69" s="25">
        <f t="shared" si="44"/>
        <v>-1.3008329250367467</v>
      </c>
      <c r="X69" s="25">
        <f t="shared" si="44"/>
        <v>-2.6848274723460457</v>
      </c>
    </row>
    <row r="70" spans="1:24" x14ac:dyDescent="0.25">
      <c r="A70" s="5" t="s">
        <v>123</v>
      </c>
      <c r="B70" s="2">
        <v>921</v>
      </c>
      <c r="C70" s="2">
        <v>2047</v>
      </c>
      <c r="D70" s="2">
        <v>1394</v>
      </c>
      <c r="E70" s="2">
        <v>1361</v>
      </c>
      <c r="F70" s="2">
        <v>1284</v>
      </c>
      <c r="G70" s="2">
        <v>1234</v>
      </c>
      <c r="H70" s="2">
        <f t="shared" si="41"/>
        <v>8241</v>
      </c>
      <c r="J70" s="25">
        <f t="shared" si="36"/>
        <v>3.4774400604115539E-2</v>
      </c>
      <c r="K70" s="25">
        <f t="shared" si="36"/>
        <v>7.860379387143844E-2</v>
      </c>
      <c r="L70" s="25">
        <f t="shared" si="36"/>
        <v>5.3236585831582965E-2</v>
      </c>
      <c r="M70" s="25">
        <f t="shared" si="36"/>
        <v>5.4490130920446814E-2</v>
      </c>
      <c r="N70" s="25">
        <f t="shared" si="36"/>
        <v>4.8880767473732295E-2</v>
      </c>
      <c r="O70" s="25">
        <f t="shared" si="36"/>
        <v>4.7323209081147413E-2</v>
      </c>
      <c r="P70" s="25">
        <f t="shared" si="36"/>
        <v>5.281575051431428E-2</v>
      </c>
      <c r="Q70" s="30"/>
      <c r="R70" s="25">
        <f t="shared" si="37"/>
        <v>-5.6832354866180976E-2</v>
      </c>
      <c r="S70" s="25">
        <f t="shared" si="38"/>
        <v>8.6194480407803427E-3</v>
      </c>
      <c r="T70" s="25">
        <f t="shared" si="44"/>
        <v>-0.55007327796775773</v>
      </c>
      <c r="U70" s="25">
        <f t="shared" si="44"/>
        <v>0.4684361549497848</v>
      </c>
      <c r="V70" s="25">
        <f t="shared" si="44"/>
        <v>2.4246877296105803E-2</v>
      </c>
      <c r="W70" s="25">
        <f t="shared" si="44"/>
        <v>5.9968847352024922E-2</v>
      </c>
      <c r="X70" s="25">
        <f t="shared" si="44"/>
        <v>4.0518638573743923E-2</v>
      </c>
    </row>
    <row r="71" spans="1:24" x14ac:dyDescent="0.25">
      <c r="A71" s="5" t="s">
        <v>124</v>
      </c>
      <c r="B71" s="2">
        <v>-253</v>
      </c>
      <c r="C71" s="2">
        <v>-295</v>
      </c>
      <c r="D71" s="2">
        <v>-296</v>
      </c>
      <c r="E71" s="2">
        <v>-952</v>
      </c>
      <c r="F71" s="2">
        <v>-168</v>
      </c>
      <c r="G71" s="2">
        <v>-627</v>
      </c>
      <c r="H71" s="2">
        <f t="shared" si="41"/>
        <v>-2591</v>
      </c>
      <c r="J71" s="26">
        <f t="shared" si="36"/>
        <v>-9.5525769303379266E-3</v>
      </c>
      <c r="K71" s="26">
        <f t="shared" si="36"/>
        <v>-1.1327855003455956E-2</v>
      </c>
      <c r="L71" s="26">
        <f t="shared" si="36"/>
        <v>-1.1304181783463815E-2</v>
      </c>
      <c r="M71" s="26">
        <f t="shared" si="36"/>
        <v>-3.8115065860591747E-2</v>
      </c>
      <c r="N71" s="26">
        <f t="shared" si="36"/>
        <v>-6.395614435815441E-3</v>
      </c>
      <c r="O71" s="26">
        <f t="shared" si="36"/>
        <v>-2.4045098941555453E-2</v>
      </c>
      <c r="P71" s="26">
        <f t="shared" si="36"/>
        <v>-1.6605461665160574E-2</v>
      </c>
      <c r="Q71" s="30"/>
      <c r="R71" s="26">
        <f t="shared" si="37"/>
        <v>-0.16599127110650957</v>
      </c>
      <c r="S71" s="26">
        <f t="shared" si="38"/>
        <v>0.61995647208246263</v>
      </c>
      <c r="T71" s="26">
        <f t="shared" si="44"/>
        <v>-0.14237288135593221</v>
      </c>
      <c r="U71" s="26">
        <f t="shared" si="44"/>
        <v>-3.3783783783783786E-3</v>
      </c>
      <c r="V71" s="26">
        <f t="shared" si="44"/>
        <v>-0.68907563025210083</v>
      </c>
      <c r="W71" s="26">
        <f t="shared" si="44"/>
        <v>4.666666666666667</v>
      </c>
      <c r="X71" s="26">
        <f t="shared" si="44"/>
        <v>-0.73205741626794263</v>
      </c>
    </row>
    <row r="72" spans="1:24" x14ac:dyDescent="0.25">
      <c r="A72" s="2" t="s">
        <v>125</v>
      </c>
      <c r="B72" s="6">
        <f>+B69-B70-B71</f>
        <v>2966</v>
      </c>
      <c r="C72" s="6">
        <f t="shared" ref="C72:G72" si="47">+C69-C70-C71</f>
        <v>1708</v>
      </c>
      <c r="D72" s="6">
        <f t="shared" si="47"/>
        <v>1030</v>
      </c>
      <c r="E72" s="6">
        <f t="shared" si="47"/>
        <v>2661</v>
      </c>
      <c r="F72" s="6">
        <f t="shared" si="47"/>
        <v>-11321</v>
      </c>
      <c r="G72" s="6">
        <f t="shared" si="47"/>
        <v>5450</v>
      </c>
      <c r="H72" s="6">
        <f t="shared" si="41"/>
        <v>2494</v>
      </c>
      <c r="J72" s="25">
        <f t="shared" si="36"/>
        <v>0.11198791768925807</v>
      </c>
      <c r="K72" s="25">
        <f t="shared" si="36"/>
        <v>6.5586360494585674E-2</v>
      </c>
      <c r="L72" s="25">
        <f t="shared" si="36"/>
        <v>3.9335497422188274E-2</v>
      </c>
      <c r="M72" s="25">
        <f t="shared" si="36"/>
        <v>0.10653801497377588</v>
      </c>
      <c r="N72" s="25">
        <f t="shared" si="36"/>
        <v>-0.43098066088015835</v>
      </c>
      <c r="O72" s="25">
        <f t="shared" si="36"/>
        <v>0.2090044485350514</v>
      </c>
      <c r="P72" s="25">
        <f t="shared" si="36"/>
        <v>1.598379829907776E-2</v>
      </c>
      <c r="Q72" s="30"/>
      <c r="R72" s="25">
        <f t="shared" si="37"/>
        <v>-0.11456858041064177</v>
      </c>
      <c r="S72" s="25">
        <f t="shared" si="38"/>
        <v>-0.7060877399039478</v>
      </c>
      <c r="T72" s="25">
        <f t="shared" si="44"/>
        <v>0.7365339578454333</v>
      </c>
      <c r="U72" s="25">
        <f t="shared" si="44"/>
        <v>0.65825242718446597</v>
      </c>
      <c r="V72" s="25">
        <f t="shared" si="44"/>
        <v>-0.61292747087561072</v>
      </c>
      <c r="W72" s="25">
        <f t="shared" si="44"/>
        <v>-1.2350499072520096</v>
      </c>
      <c r="X72" s="25">
        <f t="shared" si="44"/>
        <v>-3.0772477064220185</v>
      </c>
    </row>
    <row r="73" spans="1:24" x14ac:dyDescent="0.25">
      <c r="A73" s="5" t="s">
        <v>126</v>
      </c>
      <c r="B73" s="2">
        <v>598</v>
      </c>
      <c r="C73" s="2">
        <v>684</v>
      </c>
      <c r="D73" s="2">
        <v>669</v>
      </c>
      <c r="E73" s="2">
        <v>728</v>
      </c>
      <c r="F73" s="2">
        <v>-1067</v>
      </c>
      <c r="G73" s="2">
        <v>-5482</v>
      </c>
      <c r="H73" s="2">
        <f t="shared" si="41"/>
        <v>-3870</v>
      </c>
      <c r="J73" s="26">
        <f t="shared" si="36"/>
        <v>2.2578818198980555E-2</v>
      </c>
      <c r="K73" s="26">
        <f t="shared" si="36"/>
        <v>2.6265263804623303E-2</v>
      </c>
      <c r="L73" s="26">
        <f t="shared" si="36"/>
        <v>2.5548978422761121E-2</v>
      </c>
      <c r="M73" s="26">
        <f t="shared" si="36"/>
        <v>2.9146815069864274E-2</v>
      </c>
      <c r="N73" s="26">
        <f t="shared" si="36"/>
        <v>-4.0619765494137351E-2</v>
      </c>
      <c r="O73" s="26">
        <f t="shared" si="36"/>
        <v>-0.21023163061819297</v>
      </c>
      <c r="P73" s="26">
        <f t="shared" si="36"/>
        <v>-2.480244563649997E-2</v>
      </c>
      <c r="Q73" s="30"/>
      <c r="R73" s="26">
        <f>RATE(5,0,G73,B73)</f>
        <v>-0.35797427408867821</v>
      </c>
      <c r="S73" s="26">
        <f t="shared" si="38"/>
        <v>-0.53440064342280214</v>
      </c>
      <c r="T73" s="26">
        <f t="shared" si="44"/>
        <v>-0.12573099415204678</v>
      </c>
      <c r="U73" s="26">
        <f t="shared" si="44"/>
        <v>2.2421524663677129E-2</v>
      </c>
      <c r="V73" s="26">
        <f t="shared" si="44"/>
        <v>-8.1043956043956047E-2</v>
      </c>
      <c r="W73" s="26">
        <f t="shared" si="44"/>
        <v>-1.6822867853795689</v>
      </c>
      <c r="X73" s="26">
        <f t="shared" si="44"/>
        <v>-0.80536300620211598</v>
      </c>
    </row>
    <row r="74" spans="1:24" x14ac:dyDescent="0.25">
      <c r="A74" s="2" t="s">
        <v>127</v>
      </c>
      <c r="B74" s="6">
        <f>+B72-B73</f>
        <v>2368</v>
      </c>
      <c r="C74" s="6">
        <f t="shared" ref="C74:G74" si="48">+C72-C73</f>
        <v>1024</v>
      </c>
      <c r="D74" s="6">
        <f t="shared" si="48"/>
        <v>361</v>
      </c>
      <c r="E74" s="6">
        <f t="shared" si="48"/>
        <v>1933</v>
      </c>
      <c r="F74" s="6">
        <f t="shared" si="48"/>
        <v>-10254</v>
      </c>
      <c r="G74" s="6">
        <f t="shared" si="48"/>
        <v>10932</v>
      </c>
      <c r="H74" s="6">
        <f t="shared" si="41"/>
        <v>6364</v>
      </c>
      <c r="J74" s="25">
        <f t="shared" si="36"/>
        <v>8.9409099490277519E-2</v>
      </c>
      <c r="K74" s="25">
        <f t="shared" si="36"/>
        <v>3.9321096689962372E-2</v>
      </c>
      <c r="L74" s="25">
        <f t="shared" si="36"/>
        <v>1.3786518999427153E-2</v>
      </c>
      <c r="M74" s="25">
        <f t="shared" si="36"/>
        <v>7.7391199903911592E-2</v>
      </c>
      <c r="N74" s="25">
        <f t="shared" si="36"/>
        <v>-0.39036089538602103</v>
      </c>
      <c r="O74" s="25">
        <f t="shared" si="36"/>
        <v>0.41923607915324435</v>
      </c>
      <c r="P74" s="25">
        <f t="shared" si="36"/>
        <v>4.0786243935577733E-2</v>
      </c>
      <c r="Q74" s="30"/>
      <c r="R74" s="25">
        <f t="shared" si="37"/>
        <v>-0.26356161826246205</v>
      </c>
      <c r="S74" s="25">
        <f t="shared" si="38"/>
        <v>-0.15813412150269723</v>
      </c>
      <c r="T74" s="25">
        <f t="shared" si="44"/>
        <v>1.3125</v>
      </c>
      <c r="U74" s="25">
        <f t="shared" si="44"/>
        <v>1.8365650969529086</v>
      </c>
      <c r="V74" s="25">
        <f t="shared" si="44"/>
        <v>-0.81324366270046555</v>
      </c>
      <c r="W74" s="25">
        <f t="shared" si="44"/>
        <v>-1.1885118002730641</v>
      </c>
      <c r="X74" s="25">
        <f t="shared" si="44"/>
        <v>-1.9379802414928651</v>
      </c>
    </row>
    <row r="75" spans="1:24" x14ac:dyDescent="0.25">
      <c r="A75" s="5" t="s">
        <v>105</v>
      </c>
      <c r="B75" s="2">
        <v>5</v>
      </c>
      <c r="C75" s="2">
        <v>12</v>
      </c>
      <c r="D75" s="2">
        <v>5</v>
      </c>
      <c r="E75" s="2">
        <v>-2</v>
      </c>
      <c r="F75" s="2">
        <v>-62</v>
      </c>
      <c r="G75" s="2">
        <v>-9</v>
      </c>
      <c r="H75" s="2">
        <f t="shared" si="41"/>
        <v>-51</v>
      </c>
      <c r="J75" s="25">
        <f t="shared" si="36"/>
        <v>1.8878610534264677E-4</v>
      </c>
      <c r="K75" s="25">
        <f t="shared" si="36"/>
        <v>4.6079410183549652E-4</v>
      </c>
      <c r="L75" s="25">
        <f t="shared" si="36"/>
        <v>1.9094901661256445E-4</v>
      </c>
      <c r="M75" s="25">
        <f t="shared" si="36"/>
        <v>-8.0073667774352406E-5</v>
      </c>
      <c r="N75" s="25">
        <f t="shared" si="36"/>
        <v>-2.3602862798842699E-3</v>
      </c>
      <c r="O75" s="25">
        <f t="shared" si="36"/>
        <v>-3.4514496088357109E-4</v>
      </c>
      <c r="P75" s="25">
        <f t="shared" si="36"/>
        <v>-3.2685393474457324E-4</v>
      </c>
      <c r="Q75" s="30"/>
      <c r="R75" s="25">
        <f>RATE(5,0,G75,B75)</f>
        <v>-0.11091046386779865</v>
      </c>
      <c r="S75" s="25">
        <f t="shared" si="38"/>
        <v>0.44756272401433694</v>
      </c>
      <c r="T75" s="25">
        <f t="shared" si="44"/>
        <v>-0.58333333333333337</v>
      </c>
      <c r="U75" s="25">
        <f t="shared" si="44"/>
        <v>1.4</v>
      </c>
      <c r="V75" s="25">
        <f t="shared" si="44"/>
        <v>-3.5</v>
      </c>
      <c r="W75" s="25">
        <f t="shared" si="44"/>
        <v>-0.967741935483871</v>
      </c>
      <c r="X75" s="25">
        <f t="shared" si="44"/>
        <v>5.8888888888888893</v>
      </c>
    </row>
    <row r="76" spans="1:24" ht="15.75" thickBot="1" x14ac:dyDescent="0.3">
      <c r="A76" s="2" t="s">
        <v>128</v>
      </c>
      <c r="B76" s="9">
        <f>+B74-B75</f>
        <v>2363</v>
      </c>
      <c r="C76" s="9">
        <f t="shared" ref="C76:G76" si="49">+C74-C75</f>
        <v>1012</v>
      </c>
      <c r="D76" s="9">
        <f t="shared" si="49"/>
        <v>356</v>
      </c>
      <c r="E76" s="9">
        <f t="shared" si="49"/>
        <v>1935</v>
      </c>
      <c r="F76" s="9">
        <f t="shared" si="49"/>
        <v>-10192</v>
      </c>
      <c r="G76" s="9">
        <f t="shared" si="49"/>
        <v>10941</v>
      </c>
      <c r="H76" s="9">
        <f t="shared" si="41"/>
        <v>6415</v>
      </c>
      <c r="J76" s="28">
        <f t="shared" ref="J76:P76" si="50">+B76/B$60</f>
        <v>8.9220313384934871E-2</v>
      </c>
      <c r="K76" s="28">
        <f t="shared" si="50"/>
        <v>3.8860302588126873E-2</v>
      </c>
      <c r="L76" s="28">
        <f t="shared" si="50"/>
        <v>1.3595569982814588E-2</v>
      </c>
      <c r="M76" s="28">
        <f t="shared" si="50"/>
        <v>7.7471273571685956E-2</v>
      </c>
      <c r="N76" s="28">
        <f t="shared" si="50"/>
        <v>-0.38800060910613676</v>
      </c>
      <c r="O76" s="28">
        <f t="shared" si="50"/>
        <v>0.41958122411412796</v>
      </c>
      <c r="P76" s="28">
        <f t="shared" si="50"/>
        <v>4.1113097870322302E-2</v>
      </c>
      <c r="Q76" s="30"/>
      <c r="R76" s="28">
        <f t="shared" si="37"/>
        <v>-0.26399402380581244</v>
      </c>
      <c r="S76" s="28">
        <f t="shared" si="38"/>
        <v>-0.15194810002519135</v>
      </c>
      <c r="T76" s="28">
        <f t="shared" si="44"/>
        <v>1.3349802371541502</v>
      </c>
      <c r="U76" s="28">
        <f t="shared" si="44"/>
        <v>1.8426966292134832</v>
      </c>
      <c r="V76" s="28">
        <f t="shared" si="44"/>
        <v>-0.81602067183462534</v>
      </c>
      <c r="W76" s="28">
        <f t="shared" si="44"/>
        <v>-1.1898547880690737</v>
      </c>
      <c r="X76" s="28">
        <f t="shared" si="44"/>
        <v>-1.9315419065898913</v>
      </c>
    </row>
    <row r="77" spans="1:24" ht="15.75" thickTop="1" x14ac:dyDescent="0.25">
      <c r="B77" s="2">
        <f>+B76-'As Reported'!B70</f>
        <v>0</v>
      </c>
      <c r="C77" s="2">
        <f>+C76-'As Reported'!C70</f>
        <v>0</v>
      </c>
      <c r="D77" s="2">
        <f>+D76-'As Reported'!D70</f>
        <v>0</v>
      </c>
      <c r="E77" s="2">
        <f>+E76-'As Reported'!E70</f>
        <v>0</v>
      </c>
      <c r="F77" s="2">
        <f>+F76-'As Reported'!F70</f>
        <v>0</v>
      </c>
      <c r="G77" s="2">
        <f>+G76-'As Reported'!G70</f>
        <v>0</v>
      </c>
      <c r="J77" s="25"/>
      <c r="K77" s="25"/>
      <c r="L77" s="25"/>
      <c r="M77" s="25"/>
      <c r="N77" s="25"/>
      <c r="O77" s="25"/>
      <c r="P77" s="25"/>
      <c r="Q77" s="30"/>
      <c r="R77" s="25"/>
      <c r="S77" s="25"/>
      <c r="T77" s="25"/>
      <c r="U77" s="25"/>
      <c r="V77" s="25"/>
      <c r="W77" s="25"/>
      <c r="X77" s="25"/>
    </row>
    <row r="78" spans="1:24" x14ac:dyDescent="0.25">
      <c r="A78" s="2" t="s">
        <v>131</v>
      </c>
      <c r="B78" s="19">
        <v>1235</v>
      </c>
      <c r="C78" s="19">
        <v>1236</v>
      </c>
      <c r="D78" s="19">
        <v>1228</v>
      </c>
      <c r="E78" s="19">
        <v>1224</v>
      </c>
      <c r="F78" s="19">
        <v>1219</v>
      </c>
      <c r="G78" s="19">
        <v>1228</v>
      </c>
      <c r="H78" s="19"/>
      <c r="J78" s="25"/>
      <c r="K78" s="25"/>
      <c r="L78" s="25"/>
      <c r="M78" s="25"/>
      <c r="N78" s="25"/>
      <c r="O78" s="25"/>
      <c r="P78" s="25"/>
      <c r="R78" s="25">
        <f t="shared" si="37"/>
        <v>1.1374745049678259E-3</v>
      </c>
      <c r="S78" s="25">
        <f t="shared" si="38"/>
        <v>1.1492605687045796E-3</v>
      </c>
      <c r="T78" s="25">
        <f t="shared" ref="T78:X80" si="51">(+B78-C78)/C78</f>
        <v>-8.090614886731392E-4</v>
      </c>
      <c r="U78" s="25">
        <f t="shared" si="51"/>
        <v>6.5146579804560263E-3</v>
      </c>
      <c r="V78" s="25">
        <f t="shared" si="51"/>
        <v>3.2679738562091504E-3</v>
      </c>
      <c r="W78" s="25">
        <f t="shared" si="51"/>
        <v>4.1017227235438884E-3</v>
      </c>
      <c r="X78" s="25">
        <f t="shared" si="51"/>
        <v>-7.3289902280130291E-3</v>
      </c>
    </row>
    <row r="79" spans="1:24" x14ac:dyDescent="0.25">
      <c r="A79" s="2" t="s">
        <v>132</v>
      </c>
      <c r="B79" s="7">
        <f>+B76/B78</f>
        <v>1.9133603238866397</v>
      </c>
      <c r="C79" s="7">
        <f t="shared" ref="C79:G79" si="52">+C76/C78</f>
        <v>0.81877022653721687</v>
      </c>
      <c r="D79" s="7">
        <f t="shared" si="52"/>
        <v>0.28990228013029318</v>
      </c>
      <c r="E79" s="7">
        <f t="shared" si="52"/>
        <v>1.5808823529411764</v>
      </c>
      <c r="F79" s="7">
        <f t="shared" si="52"/>
        <v>-8.3609515996718624</v>
      </c>
      <c r="G79" s="7">
        <f t="shared" si="52"/>
        <v>8.9096091205211732</v>
      </c>
      <c r="H79" s="7"/>
      <c r="J79" s="25"/>
      <c r="K79" s="25"/>
      <c r="L79" s="25"/>
      <c r="M79" s="25"/>
      <c r="N79" s="25"/>
      <c r="O79" s="25"/>
      <c r="P79" s="25"/>
      <c r="R79" s="25">
        <f t="shared" si="37"/>
        <v>-0.26483026064109128</v>
      </c>
      <c r="S79" s="25">
        <f t="shared" si="38"/>
        <v>-0.15659011145761975</v>
      </c>
      <c r="T79" s="25">
        <f t="shared" si="51"/>
        <v>1.3368709094109552</v>
      </c>
      <c r="U79" s="25">
        <f t="shared" si="51"/>
        <v>1.8242972982800625</v>
      </c>
      <c r="V79" s="25">
        <f t="shared" si="51"/>
        <v>-0.81661995303386115</v>
      </c>
      <c r="W79" s="25">
        <f t="shared" si="51"/>
        <v>-1.1890792374642163</v>
      </c>
      <c r="X79" s="25">
        <f t="shared" si="51"/>
        <v>-1.9384195744810389</v>
      </c>
    </row>
    <row r="80" spans="1:24" x14ac:dyDescent="0.25">
      <c r="A80" s="2" t="s">
        <v>133</v>
      </c>
      <c r="B80" s="24">
        <v>1.6</v>
      </c>
      <c r="C80" s="24">
        <v>1.6</v>
      </c>
      <c r="D80" s="24">
        <v>1.6</v>
      </c>
      <c r="E80" s="24">
        <v>1.6</v>
      </c>
      <c r="F80" s="24">
        <v>2.5</v>
      </c>
      <c r="G80" s="24">
        <v>2.4500000000000002</v>
      </c>
      <c r="H80" s="24"/>
      <c r="J80" s="25"/>
      <c r="K80" s="25"/>
      <c r="L80" s="25"/>
      <c r="M80" s="25"/>
      <c r="N80" s="25"/>
      <c r="O80" s="25"/>
      <c r="P80" s="25"/>
      <c r="R80" s="25">
        <f t="shared" si="37"/>
        <v>-8.1686900081131844E-2</v>
      </c>
      <c r="S80" s="25">
        <f t="shared" si="38"/>
        <v>-6.7918367346938791E-2</v>
      </c>
      <c r="T80" s="25">
        <f t="shared" si="51"/>
        <v>0</v>
      </c>
      <c r="U80" s="25">
        <f t="shared" si="51"/>
        <v>0</v>
      </c>
      <c r="V80" s="25">
        <f t="shared" si="51"/>
        <v>0</v>
      </c>
      <c r="W80" s="25">
        <f t="shared" si="51"/>
        <v>-0.36</v>
      </c>
      <c r="X80" s="25">
        <f t="shared" si="51"/>
        <v>2.0408163265306048E-2</v>
      </c>
    </row>
    <row r="81" spans="1:24" x14ac:dyDescent="0.25">
      <c r="B81" s="7"/>
      <c r="C81" s="7"/>
      <c r="D81" s="7"/>
      <c r="E81" s="7"/>
      <c r="F81" s="7"/>
      <c r="G81" s="7"/>
      <c r="H81" s="7"/>
      <c r="J81" s="25"/>
      <c r="K81" s="25"/>
      <c r="L81" s="25"/>
      <c r="M81" s="25"/>
      <c r="N81" s="25"/>
      <c r="O81" s="25"/>
      <c r="P81" s="25"/>
      <c r="R81" s="25"/>
      <c r="S81" s="25"/>
      <c r="T81" s="25"/>
      <c r="U81" s="25"/>
      <c r="V81" s="25"/>
      <c r="W81" s="25"/>
      <c r="X81" s="25"/>
    </row>
    <row r="82" spans="1:24" x14ac:dyDescent="0.25">
      <c r="A82" s="2" t="s">
        <v>286</v>
      </c>
      <c r="B82" s="25">
        <f>+B73/B72</f>
        <v>0.20161834120026972</v>
      </c>
      <c r="C82" s="25">
        <f t="shared" ref="C82:H82" si="53">+C73/C72</f>
        <v>0.40046838407494145</v>
      </c>
      <c r="D82" s="25">
        <f t="shared" si="53"/>
        <v>0.64951456310679612</v>
      </c>
      <c r="E82" s="25">
        <f t="shared" si="53"/>
        <v>0.27358136039083053</v>
      </c>
      <c r="F82" s="25">
        <f t="shared" si="53"/>
        <v>9.4249624591467185E-2</v>
      </c>
      <c r="G82" s="25">
        <f t="shared" si="53"/>
        <v>-1.0058715596330274</v>
      </c>
      <c r="H82" s="25">
        <f t="shared" si="53"/>
        <v>-1.5517241379310345</v>
      </c>
      <c r="J82" s="25"/>
      <c r="K82" s="25"/>
      <c r="L82" s="25"/>
      <c r="M82" s="25"/>
      <c r="N82" s="25"/>
      <c r="O82" s="25"/>
      <c r="P82" s="25"/>
      <c r="R82" s="25"/>
      <c r="S82" s="25"/>
      <c r="T82" s="25"/>
      <c r="U82" s="25"/>
      <c r="V82" s="25"/>
      <c r="W82" s="25"/>
      <c r="X82" s="25"/>
    </row>
    <row r="83" spans="1:24" x14ac:dyDescent="0.25">
      <c r="B83" s="7"/>
      <c r="C83" s="7"/>
      <c r="D83" s="7"/>
      <c r="E83" s="7"/>
      <c r="F83" s="7"/>
      <c r="G83" s="7"/>
      <c r="H83" s="7"/>
      <c r="J83" s="25"/>
      <c r="K83" s="25"/>
      <c r="L83" s="25"/>
      <c r="M83" s="25"/>
      <c r="N83" s="25"/>
      <c r="O83" s="25"/>
      <c r="P83" s="25"/>
      <c r="R83" s="25"/>
      <c r="S83" s="25"/>
      <c r="T83" s="25"/>
      <c r="U83" s="25"/>
      <c r="V83" s="25"/>
      <c r="W83" s="25"/>
      <c r="X83" s="25"/>
    </row>
    <row r="84" spans="1:24" x14ac:dyDescent="0.25">
      <c r="A84" s="16" t="s">
        <v>287</v>
      </c>
      <c r="J84" s="25"/>
      <c r="K84" s="25"/>
      <c r="L84" s="25"/>
      <c r="M84" s="25"/>
      <c r="N84" s="25"/>
      <c r="O84" s="25"/>
      <c r="P84" s="25"/>
      <c r="R84" s="25"/>
      <c r="S84" s="25"/>
      <c r="T84" s="25"/>
      <c r="U84" s="25"/>
      <c r="V84" s="25"/>
      <c r="W84" s="25"/>
      <c r="X84" s="25"/>
    </row>
    <row r="85" spans="1:24" x14ac:dyDescent="0.25">
      <c r="A85" s="2" t="s">
        <v>217</v>
      </c>
      <c r="B85" s="8">
        <f>+B76</f>
        <v>2363</v>
      </c>
      <c r="C85" s="8">
        <f t="shared" ref="C85:G85" si="54">+C76</f>
        <v>1012</v>
      </c>
      <c r="D85" s="8">
        <f t="shared" si="54"/>
        <v>356</v>
      </c>
      <c r="E85" s="8">
        <f t="shared" si="54"/>
        <v>1935</v>
      </c>
      <c r="F85" s="8">
        <f t="shared" si="54"/>
        <v>-10192</v>
      </c>
      <c r="G85" s="8">
        <f t="shared" si="54"/>
        <v>10941</v>
      </c>
      <c r="J85" s="25"/>
      <c r="K85" s="25"/>
      <c r="L85" s="25"/>
      <c r="M85" s="25"/>
      <c r="N85" s="25"/>
      <c r="O85" s="25"/>
      <c r="P85" s="25"/>
      <c r="R85" s="25"/>
      <c r="S85" s="25"/>
      <c r="T85" s="25"/>
      <c r="U85" s="25"/>
      <c r="V85" s="25"/>
      <c r="W85" s="25"/>
      <c r="X85" s="25"/>
    </row>
    <row r="86" spans="1:24" x14ac:dyDescent="0.25">
      <c r="A86" s="5" t="s">
        <v>288</v>
      </c>
      <c r="B86" s="2">
        <f>+B73</f>
        <v>598</v>
      </c>
      <c r="C86" s="2">
        <f t="shared" ref="C86:G86" si="55">+C73</f>
        <v>684</v>
      </c>
      <c r="D86" s="2">
        <f t="shared" si="55"/>
        <v>669</v>
      </c>
      <c r="E86" s="2">
        <f t="shared" si="55"/>
        <v>728</v>
      </c>
      <c r="F86" s="2">
        <f t="shared" si="55"/>
        <v>-1067</v>
      </c>
      <c r="G86" s="2">
        <f t="shared" si="55"/>
        <v>-5482</v>
      </c>
      <c r="J86" s="25"/>
      <c r="K86" s="25"/>
      <c r="L86" s="25"/>
      <c r="M86" s="25"/>
      <c r="N86" s="25"/>
      <c r="O86" s="25"/>
      <c r="P86" s="25"/>
      <c r="R86" s="25"/>
      <c r="S86" s="25"/>
      <c r="T86" s="25"/>
      <c r="U86" s="25"/>
      <c r="V86" s="25"/>
      <c r="W86" s="25"/>
      <c r="X86" s="25"/>
    </row>
    <row r="87" spans="1:24" x14ac:dyDescent="0.25">
      <c r="A87" s="5" t="s">
        <v>289</v>
      </c>
      <c r="B87" s="27">
        <f>+B70</f>
        <v>921</v>
      </c>
      <c r="C87" s="27">
        <f t="shared" ref="C87:G87" si="56">+C70</f>
        <v>2047</v>
      </c>
      <c r="D87" s="27">
        <f t="shared" si="56"/>
        <v>1394</v>
      </c>
      <c r="E87" s="27">
        <f t="shared" si="56"/>
        <v>1361</v>
      </c>
      <c r="F87" s="27">
        <f t="shared" si="56"/>
        <v>1284</v>
      </c>
      <c r="G87" s="27">
        <f t="shared" si="56"/>
        <v>1234</v>
      </c>
      <c r="J87" s="25"/>
      <c r="K87" s="25"/>
      <c r="L87" s="25"/>
      <c r="M87" s="25"/>
      <c r="N87" s="25"/>
      <c r="O87" s="25"/>
      <c r="P87" s="25"/>
      <c r="R87" s="25"/>
      <c r="S87" s="25"/>
      <c r="T87" s="25"/>
      <c r="U87" s="25"/>
      <c r="V87" s="25"/>
      <c r="W87" s="25"/>
      <c r="X87" s="25"/>
    </row>
    <row r="88" spans="1:24" x14ac:dyDescent="0.25">
      <c r="A88" s="2" t="s">
        <v>247</v>
      </c>
      <c r="B88" s="2">
        <f>SUM(B85:B87)</f>
        <v>3882</v>
      </c>
      <c r="C88" s="2">
        <f t="shared" ref="C88:G88" si="57">SUM(C85:C87)</f>
        <v>3743</v>
      </c>
      <c r="D88" s="2">
        <f t="shared" si="57"/>
        <v>2419</v>
      </c>
      <c r="E88" s="2">
        <f t="shared" si="57"/>
        <v>4024</v>
      </c>
      <c r="F88" s="2">
        <f t="shared" si="57"/>
        <v>-9975</v>
      </c>
      <c r="G88" s="2">
        <f t="shared" si="57"/>
        <v>6693</v>
      </c>
      <c r="J88" s="25"/>
      <c r="K88" s="25"/>
      <c r="L88" s="25"/>
      <c r="M88" s="25"/>
      <c r="N88" s="25"/>
      <c r="O88" s="25"/>
      <c r="P88" s="25"/>
      <c r="R88" s="25"/>
      <c r="S88" s="25"/>
      <c r="T88" s="25"/>
      <c r="U88" s="25"/>
      <c r="V88" s="25"/>
      <c r="W88" s="25"/>
      <c r="X88" s="25"/>
    </row>
    <row r="89" spans="1:24" x14ac:dyDescent="0.25">
      <c r="A89" s="5" t="s">
        <v>290</v>
      </c>
      <c r="B89" s="2">
        <f>+B102</f>
        <v>933</v>
      </c>
      <c r="C89" s="2">
        <f t="shared" ref="C89:G89" si="58">+C102</f>
        <v>910</v>
      </c>
      <c r="D89" s="2">
        <f t="shared" si="58"/>
        <v>969</v>
      </c>
      <c r="E89" s="2">
        <f t="shared" si="58"/>
        <v>994</v>
      </c>
      <c r="F89" s="2">
        <f t="shared" si="58"/>
        <v>983</v>
      </c>
      <c r="G89" s="2">
        <f t="shared" si="58"/>
        <v>1031</v>
      </c>
      <c r="J89" s="25"/>
      <c r="K89" s="25"/>
      <c r="L89" s="25"/>
      <c r="M89" s="25"/>
      <c r="N89" s="25"/>
      <c r="O89" s="25"/>
      <c r="P89" s="25"/>
      <c r="R89" s="25"/>
      <c r="S89" s="25"/>
      <c r="T89" s="25"/>
      <c r="U89" s="25"/>
      <c r="V89" s="25"/>
      <c r="W89" s="25"/>
      <c r="X89" s="25"/>
    </row>
    <row r="90" spans="1:24" ht="15.75" thickBot="1" x14ac:dyDescent="0.3">
      <c r="A90" s="2" t="s">
        <v>291</v>
      </c>
      <c r="B90" s="9">
        <f>+B89+B88</f>
        <v>4815</v>
      </c>
      <c r="C90" s="9">
        <f t="shared" ref="C90:G90" si="59">+C89+C88</f>
        <v>4653</v>
      </c>
      <c r="D90" s="9">
        <f t="shared" si="59"/>
        <v>3388</v>
      </c>
      <c r="E90" s="9">
        <f t="shared" si="59"/>
        <v>5018</v>
      </c>
      <c r="F90" s="9">
        <f t="shared" si="59"/>
        <v>-8992</v>
      </c>
      <c r="G90" s="9">
        <f t="shared" si="59"/>
        <v>7724</v>
      </c>
      <c r="J90" s="25"/>
      <c r="K90" s="25"/>
      <c r="L90" s="25"/>
      <c r="M90" s="25"/>
      <c r="N90" s="25"/>
      <c r="O90" s="25"/>
      <c r="P90" s="25"/>
      <c r="R90" s="25"/>
      <c r="S90" s="25"/>
      <c r="T90" s="25"/>
      <c r="U90" s="25"/>
      <c r="V90" s="25"/>
      <c r="W90" s="25"/>
      <c r="X90" s="25"/>
    </row>
    <row r="91" spans="1:24" ht="15.75" thickTop="1" x14ac:dyDescent="0.25">
      <c r="J91" s="25"/>
      <c r="K91" s="25"/>
      <c r="L91" s="25"/>
      <c r="M91" s="25"/>
      <c r="N91" s="25"/>
      <c r="O91" s="25"/>
      <c r="P91" s="25"/>
      <c r="R91" s="25"/>
      <c r="S91" s="25"/>
      <c r="T91" s="25"/>
      <c r="U91" s="25"/>
      <c r="V91" s="25"/>
      <c r="W91" s="25"/>
      <c r="X91" s="25"/>
    </row>
    <row r="92" spans="1:24" x14ac:dyDescent="0.25">
      <c r="A92" s="2" t="s">
        <v>216</v>
      </c>
      <c r="B92" s="8">
        <f>+B69</f>
        <v>3634</v>
      </c>
      <c r="C92" s="8">
        <f t="shared" ref="C92:G92" si="60">+C69</f>
        <v>3460</v>
      </c>
      <c r="D92" s="8">
        <f t="shared" si="60"/>
        <v>2128</v>
      </c>
      <c r="E92" s="8">
        <f t="shared" si="60"/>
        <v>3070</v>
      </c>
      <c r="F92" s="8">
        <f t="shared" si="60"/>
        <v>-10205</v>
      </c>
      <c r="G92" s="8">
        <f t="shared" si="60"/>
        <v>6057</v>
      </c>
      <c r="J92" s="25"/>
      <c r="K92" s="25"/>
      <c r="L92" s="25"/>
      <c r="M92" s="25"/>
      <c r="N92" s="25"/>
      <c r="O92" s="25"/>
      <c r="P92" s="25"/>
      <c r="R92" s="25"/>
      <c r="S92" s="25"/>
      <c r="T92" s="25"/>
      <c r="U92" s="25"/>
      <c r="V92" s="25"/>
      <c r="W92" s="25"/>
      <c r="X92" s="25"/>
    </row>
    <row r="93" spans="1:24" x14ac:dyDescent="0.25">
      <c r="A93" s="5" t="s">
        <v>292</v>
      </c>
      <c r="B93" s="2">
        <f>-B71</f>
        <v>253</v>
      </c>
      <c r="C93" s="2">
        <f t="shared" ref="C93:G93" si="61">-C71</f>
        <v>295</v>
      </c>
      <c r="D93" s="2">
        <f t="shared" si="61"/>
        <v>296</v>
      </c>
      <c r="E93" s="2">
        <f t="shared" si="61"/>
        <v>952</v>
      </c>
      <c r="F93" s="2">
        <f t="shared" si="61"/>
        <v>168</v>
      </c>
      <c r="G93" s="2">
        <f t="shared" si="61"/>
        <v>627</v>
      </c>
      <c r="J93" s="25"/>
      <c r="K93" s="25"/>
      <c r="L93" s="25"/>
      <c r="M93" s="25"/>
      <c r="N93" s="25"/>
      <c r="O93" s="25"/>
      <c r="P93" s="25"/>
      <c r="R93" s="25"/>
      <c r="S93" s="25"/>
      <c r="T93" s="25"/>
      <c r="U93" s="25"/>
      <c r="V93" s="25"/>
      <c r="W93" s="25"/>
      <c r="X93" s="25"/>
    </row>
    <row r="94" spans="1:24" x14ac:dyDescent="0.25">
      <c r="A94" s="5" t="s">
        <v>105</v>
      </c>
      <c r="B94" s="2">
        <f>-B75</f>
        <v>-5</v>
      </c>
      <c r="C94" s="2">
        <f t="shared" ref="C94:G94" si="62">-C75</f>
        <v>-12</v>
      </c>
      <c r="D94" s="2">
        <f t="shared" si="62"/>
        <v>-5</v>
      </c>
      <c r="E94" s="2">
        <f t="shared" si="62"/>
        <v>2</v>
      </c>
      <c r="F94" s="2">
        <f t="shared" si="62"/>
        <v>62</v>
      </c>
      <c r="G94" s="2">
        <f t="shared" si="62"/>
        <v>9</v>
      </c>
      <c r="J94" s="25"/>
      <c r="K94" s="25"/>
      <c r="L94" s="25"/>
      <c r="M94" s="25"/>
      <c r="N94" s="25"/>
      <c r="O94" s="25"/>
      <c r="P94" s="25"/>
      <c r="R94" s="25"/>
      <c r="S94" s="25"/>
      <c r="T94" s="25"/>
      <c r="U94" s="25"/>
      <c r="V94" s="25"/>
      <c r="W94" s="25"/>
      <c r="X94" s="25"/>
    </row>
    <row r="95" spans="1:24" ht="15.75" thickBot="1" x14ac:dyDescent="0.3">
      <c r="A95" s="2" t="s">
        <v>247</v>
      </c>
      <c r="B95" s="9">
        <f>+SUM(B92:B94)</f>
        <v>3882</v>
      </c>
      <c r="C95" s="9">
        <f t="shared" ref="C95:G95" si="63">+SUM(C92:C94)</f>
        <v>3743</v>
      </c>
      <c r="D95" s="9">
        <f t="shared" si="63"/>
        <v>2419</v>
      </c>
      <c r="E95" s="9">
        <f t="shared" si="63"/>
        <v>4024</v>
      </c>
      <c r="F95" s="9">
        <f t="shared" si="63"/>
        <v>-9975</v>
      </c>
      <c r="G95" s="9">
        <f t="shared" si="63"/>
        <v>6693</v>
      </c>
      <c r="J95" s="25"/>
      <c r="K95" s="25"/>
      <c r="L95" s="25"/>
      <c r="M95" s="25"/>
      <c r="N95" s="25"/>
      <c r="O95" s="25"/>
      <c r="P95" s="25"/>
      <c r="R95" s="25"/>
      <c r="S95" s="25"/>
      <c r="T95" s="25"/>
      <c r="U95" s="25"/>
      <c r="V95" s="25"/>
      <c r="W95" s="25"/>
      <c r="X95" s="25"/>
    </row>
    <row r="96" spans="1:24" ht="15.75" thickTop="1" x14ac:dyDescent="0.25">
      <c r="J96" s="25"/>
      <c r="K96" s="25"/>
      <c r="L96" s="25"/>
      <c r="M96" s="25"/>
      <c r="N96" s="25"/>
      <c r="O96" s="25"/>
      <c r="P96" s="25"/>
      <c r="R96" s="25"/>
      <c r="S96" s="25"/>
      <c r="T96" s="25"/>
      <c r="U96" s="25"/>
      <c r="V96" s="25"/>
      <c r="W96" s="25"/>
      <c r="X96" s="25"/>
    </row>
    <row r="97" spans="1:24" s="53" customFormat="1" x14ac:dyDescent="0.25">
      <c r="A97" s="66" t="str">
        <f>+A1</f>
        <v>Kraft Heinz Company</v>
      </c>
      <c r="B97" s="66" t="str">
        <f>+B1</f>
        <v>Reclassified</v>
      </c>
      <c r="C97" s="66"/>
      <c r="D97" s="66"/>
      <c r="E97" s="66"/>
      <c r="F97" s="66"/>
      <c r="G97" s="66"/>
      <c r="H97" s="66"/>
      <c r="J97" s="66" t="str">
        <f>+B97</f>
        <v>Reclassified</v>
      </c>
      <c r="K97" s="66"/>
      <c r="L97" s="66"/>
      <c r="M97" s="66"/>
      <c r="N97" s="66"/>
      <c r="O97" s="66"/>
      <c r="R97" s="66" t="str">
        <f>+B97</f>
        <v>Reclassified</v>
      </c>
      <c r="S97" s="66"/>
      <c r="T97" s="66"/>
      <c r="U97" s="66"/>
      <c r="V97" s="66"/>
      <c r="W97" s="66"/>
      <c r="X97" s="66"/>
    </row>
    <row r="98" spans="1:24" s="53" customFormat="1" x14ac:dyDescent="0.25">
      <c r="A98" s="66" t="s">
        <v>134</v>
      </c>
      <c r="B98" s="66"/>
      <c r="C98" s="66"/>
      <c r="D98" s="66"/>
      <c r="E98" s="66"/>
      <c r="F98" s="66"/>
      <c r="G98" s="66"/>
      <c r="H98" s="66"/>
      <c r="J98" s="66" t="s">
        <v>135</v>
      </c>
      <c r="K98" s="66"/>
      <c r="L98" s="66"/>
      <c r="M98" s="66"/>
      <c r="N98" s="66"/>
      <c r="O98" s="66"/>
      <c r="R98" s="66" t="s">
        <v>63</v>
      </c>
      <c r="S98" s="66"/>
      <c r="T98" s="66"/>
      <c r="U98" s="66"/>
      <c r="V98" s="66"/>
      <c r="W98" s="66"/>
      <c r="X98" s="66"/>
    </row>
    <row r="99" spans="1:24" s="53" customFormat="1" x14ac:dyDescent="0.25">
      <c r="A99" s="66" t="str">
        <f>+A3</f>
        <v>in millions except per share data</v>
      </c>
      <c r="B99" s="66"/>
      <c r="C99" s="66"/>
      <c r="D99" s="66"/>
      <c r="E99" s="66"/>
      <c r="F99" s="66" t="s">
        <v>262</v>
      </c>
      <c r="G99" s="72" t="s">
        <v>66</v>
      </c>
      <c r="H99" s="67"/>
      <c r="J99" s="66"/>
      <c r="K99" s="66"/>
      <c r="L99" s="66"/>
      <c r="M99" s="66"/>
      <c r="N99" s="66"/>
      <c r="O99" s="72" t="s">
        <v>66</v>
      </c>
      <c r="P99" s="65"/>
      <c r="R99" s="66" t="s">
        <v>67</v>
      </c>
      <c r="S99" s="66" t="s">
        <v>68</v>
      </c>
      <c r="T99" s="66" t="s">
        <v>69</v>
      </c>
      <c r="U99" s="66" t="s">
        <v>70</v>
      </c>
      <c r="V99" s="66" t="s">
        <v>71</v>
      </c>
      <c r="W99" s="66" t="s">
        <v>72</v>
      </c>
      <c r="X99" s="66" t="s">
        <v>73</v>
      </c>
    </row>
    <row r="100" spans="1:24" s="53" customFormat="1" ht="15.75" thickBot="1" x14ac:dyDescent="0.3">
      <c r="A100" s="67" t="str">
        <f>+A4</f>
        <v>Fiscal year ended 12/31:</v>
      </c>
      <c r="B100" s="69">
        <v>2022</v>
      </c>
      <c r="C100" s="69">
        <v>2021</v>
      </c>
      <c r="D100" s="69">
        <v>2020</v>
      </c>
      <c r="E100" s="69">
        <v>2019</v>
      </c>
      <c r="F100" s="69">
        <v>2018</v>
      </c>
      <c r="G100" s="69">
        <v>2017</v>
      </c>
      <c r="H100" s="69" t="s">
        <v>275</v>
      </c>
      <c r="J100" s="69">
        <v>2022</v>
      </c>
      <c r="K100" s="69">
        <v>2021</v>
      </c>
      <c r="L100" s="69">
        <v>2020</v>
      </c>
      <c r="M100" s="69">
        <v>2019</v>
      </c>
      <c r="N100" s="69">
        <v>2018</v>
      </c>
      <c r="O100" s="69">
        <v>2017</v>
      </c>
      <c r="P100" s="77"/>
      <c r="R100" s="70" t="s">
        <v>75</v>
      </c>
      <c r="S100" s="70" t="s">
        <v>76</v>
      </c>
      <c r="T100" s="71">
        <v>2022</v>
      </c>
      <c r="U100" s="71">
        <v>2021</v>
      </c>
      <c r="V100" s="71">
        <v>2020</v>
      </c>
      <c r="W100" s="71">
        <v>2019</v>
      </c>
      <c r="X100" s="71">
        <v>2018</v>
      </c>
    </row>
    <row r="101" spans="1:24" x14ac:dyDescent="0.25">
      <c r="A101" s="2" t="s">
        <v>293</v>
      </c>
      <c r="B101" s="8">
        <f>+'As Reported'!B68</f>
        <v>2368</v>
      </c>
      <c r="C101" s="8">
        <f>+'As Reported'!C68</f>
        <v>1024</v>
      </c>
      <c r="D101" s="8">
        <f>+'As Reported'!D68</f>
        <v>361</v>
      </c>
      <c r="E101" s="8">
        <f>+'As Reported'!E68</f>
        <v>1933</v>
      </c>
      <c r="F101" s="8">
        <f>+'As Reported'!F68</f>
        <v>-10254</v>
      </c>
      <c r="G101" s="8">
        <f>+'As Reported'!G68</f>
        <v>10932</v>
      </c>
      <c r="H101" s="8">
        <f>SUM(B101:G101)</f>
        <v>6364</v>
      </c>
      <c r="J101" s="25"/>
      <c r="K101" s="25"/>
      <c r="L101" s="25"/>
      <c r="M101" s="25"/>
      <c r="N101" s="25"/>
      <c r="O101" s="25"/>
      <c r="P101" s="25"/>
      <c r="R101" s="25">
        <f t="shared" si="37"/>
        <v>-0.26356161826246205</v>
      </c>
      <c r="S101" s="25">
        <f t="shared" si="38"/>
        <v>-0.15813412150269723</v>
      </c>
      <c r="T101" s="25">
        <f t="shared" ref="T101:X121" si="64">(+B101-C101)/C101</f>
        <v>1.3125</v>
      </c>
      <c r="U101" s="25">
        <f t="shared" si="64"/>
        <v>1.8365650969529086</v>
      </c>
      <c r="V101" s="25">
        <f t="shared" si="64"/>
        <v>-0.81324366270046555</v>
      </c>
      <c r="W101" s="25">
        <f t="shared" si="64"/>
        <v>-1.1885118002730641</v>
      </c>
      <c r="X101" s="25">
        <f t="shared" si="64"/>
        <v>-1.9379802414928651</v>
      </c>
    </row>
    <row r="102" spans="1:24" x14ac:dyDescent="0.25">
      <c r="A102" s="5" t="s">
        <v>137</v>
      </c>
      <c r="B102" s="2">
        <v>933</v>
      </c>
      <c r="C102" s="2">
        <v>910</v>
      </c>
      <c r="D102" s="2">
        <v>969</v>
      </c>
      <c r="E102" s="2">
        <v>994</v>
      </c>
      <c r="F102" s="2">
        <v>983</v>
      </c>
      <c r="G102" s="2">
        <v>1031</v>
      </c>
      <c r="H102" s="2">
        <f>SUM(B102:G102)</f>
        <v>5820</v>
      </c>
      <c r="J102" s="25"/>
      <c r="K102" s="25"/>
      <c r="L102" s="25"/>
      <c r="M102" s="25"/>
      <c r="N102" s="25"/>
      <c r="O102" s="25"/>
      <c r="P102" s="25"/>
      <c r="R102" s="25">
        <f t="shared" si="37"/>
        <v>-1.9777661112159107E-2</v>
      </c>
      <c r="S102" s="25">
        <f t="shared" si="38"/>
        <v>-1.9226040021655122E-2</v>
      </c>
      <c r="T102" s="25">
        <f t="shared" si="64"/>
        <v>2.5274725274725275E-2</v>
      </c>
      <c r="U102" s="25">
        <f t="shared" si="64"/>
        <v>-6.0887512899896801E-2</v>
      </c>
      <c r="V102" s="25">
        <f t="shared" si="64"/>
        <v>-2.5150905432595575E-2</v>
      </c>
      <c r="W102" s="25">
        <f t="shared" si="64"/>
        <v>1.1190233977619531E-2</v>
      </c>
      <c r="X102" s="25">
        <f t="shared" si="64"/>
        <v>-4.6556741028128033E-2</v>
      </c>
    </row>
    <row r="103" spans="1:24" x14ac:dyDescent="0.25">
      <c r="A103" s="5" t="s">
        <v>138</v>
      </c>
      <c r="B103" s="2">
        <v>-14</v>
      </c>
      <c r="C103" s="2">
        <v>-7</v>
      </c>
      <c r="D103" s="2">
        <v>-122</v>
      </c>
      <c r="E103" s="2">
        <v>-306</v>
      </c>
      <c r="F103" s="2">
        <v>-339</v>
      </c>
      <c r="G103" s="2">
        <v>-328</v>
      </c>
      <c r="H103" s="2">
        <f t="shared" ref="H103:H121" si="65">SUM(B103:G103)</f>
        <v>-1116</v>
      </c>
      <c r="J103" s="25"/>
      <c r="K103" s="25"/>
      <c r="L103" s="25"/>
      <c r="M103" s="25"/>
      <c r="N103" s="25"/>
      <c r="O103" s="25"/>
      <c r="P103" s="25"/>
      <c r="R103" s="25">
        <f t="shared" si="37"/>
        <v>-0.46782944863591575</v>
      </c>
      <c r="S103" s="25">
        <f t="shared" si="38"/>
        <v>-0.12154773754793299</v>
      </c>
      <c r="T103" s="25">
        <f t="shared" si="64"/>
        <v>1</v>
      </c>
      <c r="U103" s="25">
        <f t="shared" si="64"/>
        <v>-0.94262295081967218</v>
      </c>
      <c r="V103" s="25">
        <f t="shared" si="64"/>
        <v>-0.60130718954248363</v>
      </c>
      <c r="W103" s="25">
        <f t="shared" si="64"/>
        <v>-9.7345132743362831E-2</v>
      </c>
      <c r="X103" s="25">
        <f t="shared" si="64"/>
        <v>3.3536585365853661E-2</v>
      </c>
    </row>
    <row r="104" spans="1:24" x14ac:dyDescent="0.25">
      <c r="A104" s="5" t="s">
        <v>294</v>
      </c>
      <c r="B104" s="2">
        <v>-56</v>
      </c>
      <c r="C104" s="2">
        <v>-4</v>
      </c>
      <c r="D104" s="2">
        <v>0</v>
      </c>
      <c r="E104" s="2">
        <v>0</v>
      </c>
      <c r="F104" s="2">
        <v>0</v>
      </c>
      <c r="G104" s="2">
        <v>0</v>
      </c>
      <c r="H104" s="2">
        <f t="shared" si="65"/>
        <v>-60</v>
      </c>
      <c r="J104" s="25"/>
      <c r="K104" s="25"/>
      <c r="L104" s="25"/>
      <c r="M104" s="25"/>
      <c r="N104" s="25"/>
      <c r="O104" s="25"/>
      <c r="P104" s="25"/>
      <c r="R104" s="25"/>
      <c r="S104" s="25">
        <f t="shared" si="38"/>
        <v>13</v>
      </c>
      <c r="T104" s="25">
        <f t="shared" si="64"/>
        <v>13</v>
      </c>
      <c r="U104" s="25"/>
      <c r="V104" s="25"/>
      <c r="W104" s="25"/>
      <c r="X104" s="25"/>
    </row>
    <row r="105" spans="1:24" x14ac:dyDescent="0.25">
      <c r="A105" s="5" t="s">
        <v>142</v>
      </c>
      <c r="B105" s="2">
        <v>148</v>
      </c>
      <c r="C105" s="2">
        <v>197</v>
      </c>
      <c r="D105" s="2">
        <v>156</v>
      </c>
      <c r="E105" s="2">
        <v>46</v>
      </c>
      <c r="F105" s="2">
        <v>33</v>
      </c>
      <c r="G105" s="2">
        <v>46</v>
      </c>
      <c r="H105" s="2">
        <f t="shared" si="65"/>
        <v>626</v>
      </c>
      <c r="J105" s="25"/>
      <c r="K105" s="25"/>
      <c r="L105" s="25"/>
      <c r="M105" s="25"/>
      <c r="N105" s="25"/>
      <c r="O105" s="25"/>
      <c r="P105" s="25"/>
      <c r="R105" s="25">
        <f t="shared" si="37"/>
        <v>0.2632833632037212</v>
      </c>
      <c r="S105" s="25">
        <f t="shared" si="38"/>
        <v>0.50334491889336297</v>
      </c>
      <c r="T105" s="25">
        <f t="shared" si="64"/>
        <v>-0.24873096446700507</v>
      </c>
      <c r="U105" s="25">
        <f t="shared" si="64"/>
        <v>0.26282051282051283</v>
      </c>
      <c r="V105" s="25">
        <f t="shared" si="64"/>
        <v>2.3913043478260869</v>
      </c>
      <c r="W105" s="25">
        <f t="shared" si="64"/>
        <v>0.39393939393939392</v>
      </c>
      <c r="X105" s="25">
        <f t="shared" si="64"/>
        <v>-0.28260869565217389</v>
      </c>
    </row>
    <row r="106" spans="1:24" x14ac:dyDescent="0.25">
      <c r="A106" s="5" t="s">
        <v>93</v>
      </c>
      <c r="B106" s="2">
        <v>-278</v>
      </c>
      <c r="C106" s="2">
        <v>-1042</v>
      </c>
      <c r="D106" s="2">
        <v>-343</v>
      </c>
      <c r="E106" s="2">
        <v>-293</v>
      </c>
      <c r="F106" s="2">
        <v>-1967</v>
      </c>
      <c r="G106" s="2">
        <v>-6495</v>
      </c>
      <c r="H106" s="2">
        <f t="shared" si="65"/>
        <v>-10418</v>
      </c>
      <c r="J106" s="25"/>
      <c r="K106" s="25"/>
      <c r="L106" s="25"/>
      <c r="M106" s="25"/>
      <c r="N106" s="25"/>
      <c r="O106" s="25"/>
      <c r="P106" s="25"/>
      <c r="R106" s="25">
        <f t="shared" si="37"/>
        <v>-0.46753247175287116</v>
      </c>
      <c r="S106" s="25">
        <f t="shared" si="38"/>
        <v>-1.4569977367617493E-2</v>
      </c>
      <c r="T106" s="25">
        <f t="shared" si="64"/>
        <v>-0.73320537428023036</v>
      </c>
      <c r="U106" s="25">
        <f t="shared" si="64"/>
        <v>2.0379008746355685</v>
      </c>
      <c r="V106" s="25">
        <f t="shared" si="64"/>
        <v>0.17064846416382254</v>
      </c>
      <c r="W106" s="25">
        <f t="shared" si="64"/>
        <v>-0.85104219623792576</v>
      </c>
      <c r="X106" s="25">
        <f t="shared" si="64"/>
        <v>-0.69715165511932253</v>
      </c>
    </row>
    <row r="107" spans="1:24" x14ac:dyDescent="0.25">
      <c r="A107" s="5" t="s">
        <v>143</v>
      </c>
      <c r="B107" s="2">
        <v>-23</v>
      </c>
      <c r="C107" s="2">
        <v>-27</v>
      </c>
      <c r="D107" s="2">
        <v>-27</v>
      </c>
      <c r="E107" s="2">
        <v>-32</v>
      </c>
      <c r="F107" s="2">
        <v>-76</v>
      </c>
      <c r="G107" s="2">
        <v>-1659</v>
      </c>
      <c r="H107" s="2">
        <f t="shared" si="65"/>
        <v>-1844</v>
      </c>
      <c r="J107" s="25"/>
      <c r="K107" s="25"/>
      <c r="L107" s="25"/>
      <c r="M107" s="25"/>
      <c r="N107" s="25"/>
      <c r="O107" s="25"/>
      <c r="P107" s="25"/>
      <c r="R107" s="25">
        <f t="shared" si="37"/>
        <v>-0.57501236935767197</v>
      </c>
      <c r="S107" s="25">
        <f t="shared" si="38"/>
        <v>-0.36750695744283352</v>
      </c>
      <c r="T107" s="25">
        <f t="shared" si="64"/>
        <v>-0.14814814814814814</v>
      </c>
      <c r="U107" s="25">
        <f t="shared" si="64"/>
        <v>0</v>
      </c>
      <c r="V107" s="25">
        <f t="shared" si="64"/>
        <v>-0.15625</v>
      </c>
      <c r="W107" s="25">
        <f t="shared" si="64"/>
        <v>-0.57894736842105265</v>
      </c>
      <c r="X107" s="25">
        <f t="shared" si="64"/>
        <v>-0.95418927064496684</v>
      </c>
    </row>
    <row r="108" spans="1:24" x14ac:dyDescent="0.25">
      <c r="A108" s="5" t="s">
        <v>144</v>
      </c>
      <c r="B108" s="2">
        <v>913</v>
      </c>
      <c r="C108" s="2">
        <v>1634</v>
      </c>
      <c r="D108" s="2">
        <v>3399</v>
      </c>
      <c r="E108" s="2">
        <v>1899</v>
      </c>
      <c r="F108" s="2">
        <v>15936</v>
      </c>
      <c r="G108" s="2">
        <v>49</v>
      </c>
      <c r="H108" s="2">
        <f t="shared" si="65"/>
        <v>23830</v>
      </c>
      <c r="J108" s="25"/>
      <c r="K108" s="25"/>
      <c r="L108" s="25"/>
      <c r="M108" s="25"/>
      <c r="N108" s="25"/>
      <c r="O108" s="25"/>
      <c r="P108" s="25"/>
      <c r="R108" s="25">
        <f t="shared" si="37"/>
        <v>0.79496068015980603</v>
      </c>
      <c r="S108" s="25">
        <f t="shared" si="38"/>
        <v>64.634604904875033</v>
      </c>
      <c r="T108" s="25">
        <f t="shared" si="64"/>
        <v>-0.44124847001223988</v>
      </c>
      <c r="U108" s="25">
        <f t="shared" si="64"/>
        <v>-0.51927037363930573</v>
      </c>
      <c r="V108" s="25">
        <f t="shared" si="64"/>
        <v>0.78988941548183256</v>
      </c>
      <c r="W108" s="25">
        <f t="shared" si="64"/>
        <v>-0.88083584337349397</v>
      </c>
      <c r="X108" s="25">
        <f t="shared" si="64"/>
        <v>324.22448979591837</v>
      </c>
    </row>
    <row r="109" spans="1:24" x14ac:dyDescent="0.25">
      <c r="A109" s="5" t="s">
        <v>145</v>
      </c>
      <c r="B109" s="2">
        <v>17</v>
      </c>
      <c r="C109" s="2">
        <v>0</v>
      </c>
      <c r="D109" s="2">
        <v>6</v>
      </c>
      <c r="E109" s="2">
        <v>10</v>
      </c>
      <c r="F109" s="2">
        <v>146</v>
      </c>
      <c r="G109" s="2">
        <v>36</v>
      </c>
      <c r="H109" s="2">
        <f t="shared" si="65"/>
        <v>215</v>
      </c>
      <c r="J109" s="25"/>
      <c r="K109" s="25"/>
      <c r="L109" s="25"/>
      <c r="M109" s="25"/>
      <c r="N109" s="25"/>
      <c r="O109" s="25"/>
      <c r="P109" s="25"/>
      <c r="R109" s="25">
        <f t="shared" si="37"/>
        <v>-0.13934462747481444</v>
      </c>
      <c r="S109" s="25">
        <f t="shared" si="38"/>
        <v>0.18101217656012181</v>
      </c>
      <c r="T109" s="25"/>
      <c r="U109" s="25">
        <f t="shared" si="64"/>
        <v>-1</v>
      </c>
      <c r="V109" s="25">
        <f t="shared" si="64"/>
        <v>-0.4</v>
      </c>
      <c r="W109" s="25">
        <f t="shared" si="64"/>
        <v>-0.93150684931506844</v>
      </c>
      <c r="X109" s="25">
        <f t="shared" si="64"/>
        <v>3.0555555555555554</v>
      </c>
    </row>
    <row r="110" spans="1:24" x14ac:dyDescent="0.25">
      <c r="A110" s="5" t="s">
        <v>147</v>
      </c>
      <c r="B110" s="2">
        <v>-25</v>
      </c>
      <c r="C110" s="2">
        <v>-44</v>
      </c>
      <c r="D110" s="2">
        <v>2</v>
      </c>
      <c r="E110" s="2">
        <v>-420</v>
      </c>
      <c r="F110" s="2">
        <v>15</v>
      </c>
      <c r="G110" s="2">
        <v>0</v>
      </c>
      <c r="H110" s="2">
        <f t="shared" si="65"/>
        <v>-472</v>
      </c>
      <c r="J110" s="25"/>
      <c r="K110" s="25"/>
      <c r="L110" s="25"/>
      <c r="M110" s="25"/>
      <c r="N110" s="25"/>
      <c r="O110" s="25"/>
      <c r="P110" s="25"/>
      <c r="R110" s="25"/>
      <c r="S110" s="25">
        <f t="shared" si="38"/>
        <v>-13.359145021645022</v>
      </c>
      <c r="T110" s="25">
        <f t="shared" si="64"/>
        <v>-0.43181818181818182</v>
      </c>
      <c r="U110" s="25">
        <f t="shared" si="64"/>
        <v>-23</v>
      </c>
      <c r="V110" s="25">
        <f t="shared" si="64"/>
        <v>-1.0047619047619047</v>
      </c>
      <c r="W110" s="25">
        <f t="shared" si="64"/>
        <v>-29</v>
      </c>
      <c r="X110" s="25"/>
    </row>
    <row r="111" spans="1:24" x14ac:dyDescent="0.25">
      <c r="A111" s="5" t="s">
        <v>295</v>
      </c>
      <c r="B111" s="2">
        <v>0</v>
      </c>
      <c r="C111" s="2">
        <v>1587</v>
      </c>
      <c r="D111" s="2">
        <v>0</v>
      </c>
      <c r="E111" s="2">
        <v>0</v>
      </c>
      <c r="F111" s="2">
        <v>0</v>
      </c>
      <c r="G111" s="2">
        <v>0</v>
      </c>
      <c r="H111" s="2">
        <f t="shared" si="65"/>
        <v>1587</v>
      </c>
      <c r="J111" s="25"/>
      <c r="K111" s="25"/>
      <c r="L111" s="25"/>
      <c r="M111" s="25"/>
      <c r="N111" s="25"/>
      <c r="O111" s="25"/>
      <c r="P111" s="25"/>
      <c r="R111" s="25"/>
      <c r="S111" s="25">
        <f t="shared" si="38"/>
        <v>-1</v>
      </c>
      <c r="T111" s="25">
        <f t="shared" si="64"/>
        <v>-1</v>
      </c>
      <c r="U111" s="25"/>
      <c r="V111" s="25"/>
      <c r="W111" s="25"/>
      <c r="X111" s="25"/>
    </row>
    <row r="112" spans="1:24" x14ac:dyDescent="0.25">
      <c r="A112" s="5" t="s">
        <v>149</v>
      </c>
      <c r="B112" s="2">
        <v>-38</v>
      </c>
      <c r="C112" s="2">
        <v>917</v>
      </c>
      <c r="D112" s="2">
        <v>124</v>
      </c>
      <c r="E112" s="2">
        <v>0</v>
      </c>
      <c r="F112" s="2">
        <v>0</v>
      </c>
      <c r="G112" s="2">
        <v>0</v>
      </c>
      <c r="H112" s="2">
        <f t="shared" si="65"/>
        <v>1003</v>
      </c>
      <c r="J112" s="25"/>
      <c r="K112" s="25"/>
      <c r="L112" s="25"/>
      <c r="M112" s="25"/>
      <c r="N112" s="25"/>
      <c r="O112" s="25"/>
      <c r="P112" s="25"/>
      <c r="R112" s="25"/>
      <c r="S112" s="25">
        <f t="shared" si="38"/>
        <v>2.6768609068843006</v>
      </c>
      <c r="T112" s="25">
        <f t="shared" si="64"/>
        <v>-1.0414394765539803</v>
      </c>
      <c r="U112" s="25">
        <f t="shared" si="64"/>
        <v>6.395161290322581</v>
      </c>
      <c r="V112" s="25"/>
      <c r="W112" s="25"/>
      <c r="X112" s="25"/>
    </row>
    <row r="113" spans="1:24" x14ac:dyDescent="0.25">
      <c r="A113" s="5" t="s">
        <v>150</v>
      </c>
      <c r="B113" s="2">
        <v>7</v>
      </c>
      <c r="C113" s="2">
        <v>-187</v>
      </c>
      <c r="D113" s="2">
        <v>-54</v>
      </c>
      <c r="E113" s="2">
        <v>-46</v>
      </c>
      <c r="F113" s="2">
        <v>160</v>
      </c>
      <c r="G113" s="2">
        <v>253</v>
      </c>
      <c r="H113" s="2">
        <f t="shared" si="65"/>
        <v>133</v>
      </c>
      <c r="J113" s="25"/>
      <c r="K113" s="25"/>
      <c r="L113" s="25"/>
      <c r="M113" s="25"/>
      <c r="N113" s="25"/>
      <c r="O113" s="25"/>
      <c r="P113" s="25"/>
      <c r="R113" s="26">
        <f t="shared" si="37"/>
        <v>-0.51202732470001944</v>
      </c>
      <c r="S113" s="26">
        <f t="shared" si="38"/>
        <v>-1.1129216289062849E-2</v>
      </c>
      <c r="T113" s="26">
        <f t="shared" si="64"/>
        <v>-1.0374331550802138</v>
      </c>
      <c r="U113" s="26">
        <f t="shared" si="64"/>
        <v>2.4629629629629628</v>
      </c>
      <c r="V113" s="26">
        <f t="shared" si="64"/>
        <v>0.17391304347826086</v>
      </c>
      <c r="W113" s="26">
        <f t="shared" si="64"/>
        <v>-1.2875000000000001</v>
      </c>
      <c r="X113" s="26">
        <f t="shared" si="64"/>
        <v>-0.3675889328063241</v>
      </c>
    </row>
    <row r="114" spans="1:24" x14ac:dyDescent="0.25">
      <c r="A114" s="17" t="s">
        <v>151</v>
      </c>
      <c r="B114" s="18">
        <f>SUM(B101:B113)</f>
        <v>3952</v>
      </c>
      <c r="C114" s="18">
        <f t="shared" ref="C114:G114" si="66">SUM(C101:C113)</f>
        <v>4958</v>
      </c>
      <c r="D114" s="18">
        <f t="shared" si="66"/>
        <v>4471</v>
      </c>
      <c r="E114" s="18">
        <f t="shared" si="66"/>
        <v>3785</v>
      </c>
      <c r="F114" s="18">
        <f t="shared" si="66"/>
        <v>4637</v>
      </c>
      <c r="G114" s="18">
        <f t="shared" si="66"/>
        <v>3865</v>
      </c>
      <c r="H114" s="18">
        <f t="shared" si="65"/>
        <v>25668</v>
      </c>
      <c r="J114" s="25"/>
      <c r="K114" s="25"/>
      <c r="L114" s="25"/>
      <c r="M114" s="25"/>
      <c r="N114" s="25"/>
      <c r="O114" s="25"/>
      <c r="P114" s="25"/>
      <c r="R114" s="25">
        <f t="shared" si="37"/>
        <v>4.461944531612725E-3</v>
      </c>
      <c r="S114" s="25">
        <f t="shared" si="38"/>
        <v>2.0652661175588411E-2</v>
      </c>
      <c r="T114" s="25">
        <f t="shared" si="64"/>
        <v>-0.20290439693424769</v>
      </c>
      <c r="U114" s="25">
        <f t="shared" si="64"/>
        <v>0.1089241780362335</v>
      </c>
      <c r="V114" s="25">
        <f t="shared" si="64"/>
        <v>0.18124174372523116</v>
      </c>
      <c r="W114" s="25">
        <f t="shared" si="64"/>
        <v>-0.18373948673711452</v>
      </c>
      <c r="X114" s="25">
        <f t="shared" si="64"/>
        <v>0.1997412677878396</v>
      </c>
    </row>
    <row r="115" spans="1:24" x14ac:dyDescent="0.25">
      <c r="A115" s="2" t="s">
        <v>152</v>
      </c>
      <c r="H115" s="2">
        <f t="shared" si="65"/>
        <v>0</v>
      </c>
      <c r="J115" s="25"/>
      <c r="K115" s="25"/>
      <c r="L115" s="25"/>
      <c r="M115" s="25"/>
      <c r="N115" s="25"/>
      <c r="O115" s="25"/>
      <c r="P115" s="25"/>
      <c r="R115" s="25"/>
      <c r="S115" s="25"/>
      <c r="T115" s="25"/>
      <c r="U115" s="25"/>
      <c r="V115" s="25"/>
      <c r="W115" s="25"/>
      <c r="X115" s="25"/>
    </row>
    <row r="116" spans="1:24" x14ac:dyDescent="0.25">
      <c r="A116" s="5" t="s">
        <v>18</v>
      </c>
      <c r="B116" s="2">
        <v>-228</v>
      </c>
      <c r="C116" s="2">
        <v>87</v>
      </c>
      <c r="D116" s="2">
        <v>-26</v>
      </c>
      <c r="E116" s="2">
        <v>140</v>
      </c>
      <c r="F116" s="2">
        <v>-2280</v>
      </c>
      <c r="G116" s="2">
        <v>-2629</v>
      </c>
      <c r="H116" s="2">
        <f t="shared" si="65"/>
        <v>-4936</v>
      </c>
      <c r="J116" s="25"/>
      <c r="K116" s="25"/>
      <c r="L116" s="25"/>
      <c r="M116" s="25"/>
      <c r="N116" s="25"/>
      <c r="O116" s="25"/>
      <c r="P116" s="25"/>
      <c r="R116" s="25">
        <f t="shared" si="37"/>
        <v>-0.38676229142799318</v>
      </c>
      <c r="S116" s="25">
        <f t="shared" si="38"/>
        <v>-2.069342278181133</v>
      </c>
      <c r="T116" s="25">
        <f t="shared" si="64"/>
        <v>-3.6206896551724137</v>
      </c>
      <c r="U116" s="25">
        <f t="shared" si="64"/>
        <v>-4.3461538461538458</v>
      </c>
      <c r="V116" s="25">
        <f t="shared" si="64"/>
        <v>-1.1857142857142857</v>
      </c>
      <c r="W116" s="25">
        <f t="shared" si="64"/>
        <v>-1.0614035087719298</v>
      </c>
      <c r="X116" s="25">
        <f t="shared" si="64"/>
        <v>-0.13275009509319133</v>
      </c>
    </row>
    <row r="117" spans="1:24" x14ac:dyDescent="0.25">
      <c r="A117" s="5" t="s">
        <v>19</v>
      </c>
      <c r="B117" s="2">
        <v>-1121</v>
      </c>
      <c r="C117" s="2">
        <v>-144</v>
      </c>
      <c r="D117" s="2">
        <v>-249</v>
      </c>
      <c r="E117" s="2">
        <v>-277</v>
      </c>
      <c r="F117" s="2">
        <v>-251</v>
      </c>
      <c r="G117" s="2">
        <v>-236</v>
      </c>
      <c r="H117" s="2">
        <f t="shared" si="65"/>
        <v>-2278</v>
      </c>
      <c r="J117" s="25"/>
      <c r="K117" s="25"/>
      <c r="L117" s="25"/>
      <c r="M117" s="25"/>
      <c r="N117" s="25"/>
      <c r="O117" s="25"/>
      <c r="P117" s="25"/>
      <c r="R117" s="25">
        <f t="shared" si="37"/>
        <v>0.36564783932642692</v>
      </c>
      <c r="S117" s="25">
        <f t="shared" si="38"/>
        <v>1.2858194844295423</v>
      </c>
      <c r="T117" s="25">
        <f t="shared" si="64"/>
        <v>6.7847222222222223</v>
      </c>
      <c r="U117" s="25">
        <f t="shared" si="64"/>
        <v>-0.42168674698795183</v>
      </c>
      <c r="V117" s="25">
        <f t="shared" si="64"/>
        <v>-0.10108303249097472</v>
      </c>
      <c r="W117" s="25">
        <f t="shared" si="64"/>
        <v>0.10358565737051793</v>
      </c>
      <c r="X117" s="25">
        <f t="shared" si="64"/>
        <v>6.3559322033898302E-2</v>
      </c>
    </row>
    <row r="118" spans="1:24" x14ac:dyDescent="0.25">
      <c r="A118" s="5" t="s">
        <v>28</v>
      </c>
      <c r="B118" s="2">
        <v>152</v>
      </c>
      <c r="C118" s="2">
        <v>408</v>
      </c>
      <c r="D118" s="2">
        <v>207</v>
      </c>
      <c r="E118" s="2">
        <v>-58</v>
      </c>
      <c r="F118" s="2">
        <v>-23</v>
      </c>
      <c r="G118" s="2">
        <v>441</v>
      </c>
      <c r="H118" s="2">
        <f t="shared" si="65"/>
        <v>1127</v>
      </c>
      <c r="J118" s="25"/>
      <c r="K118" s="25"/>
      <c r="L118" s="25"/>
      <c r="M118" s="25"/>
      <c r="N118" s="25"/>
      <c r="O118" s="25"/>
      <c r="P118" s="25"/>
      <c r="R118" s="25">
        <f t="shared" si="37"/>
        <v>-0.19187042718273711</v>
      </c>
      <c r="S118" s="25">
        <f t="shared" si="38"/>
        <v>-0.75116341389129349</v>
      </c>
      <c r="T118" s="25">
        <f t="shared" si="64"/>
        <v>-0.62745098039215685</v>
      </c>
      <c r="U118" s="25">
        <f t="shared" si="64"/>
        <v>0.97101449275362317</v>
      </c>
      <c r="V118" s="25">
        <f t="shared" si="64"/>
        <v>-4.568965517241379</v>
      </c>
      <c r="W118" s="25">
        <f t="shared" si="64"/>
        <v>1.5217391304347827</v>
      </c>
      <c r="X118" s="25">
        <f t="shared" si="64"/>
        <v>-1.0521541950113378</v>
      </c>
    </row>
    <row r="119" spans="1:24" x14ac:dyDescent="0.25">
      <c r="A119" s="5" t="s">
        <v>20</v>
      </c>
      <c r="B119" s="2">
        <v>-314</v>
      </c>
      <c r="C119" s="2">
        <v>-32</v>
      </c>
      <c r="D119" s="2">
        <v>40</v>
      </c>
      <c r="E119" s="2">
        <v>52</v>
      </c>
      <c r="F119" s="2">
        <v>-146</v>
      </c>
      <c r="G119" s="2">
        <v>-64</v>
      </c>
      <c r="H119" s="2">
        <f t="shared" si="65"/>
        <v>-464</v>
      </c>
      <c r="J119" s="25"/>
      <c r="K119" s="25"/>
      <c r="L119" s="25"/>
      <c r="M119" s="25"/>
      <c r="N119" s="25"/>
      <c r="O119" s="25"/>
      <c r="P119" s="25"/>
      <c r="R119" s="25">
        <f t="shared" si="37"/>
        <v>0.37451642796623941</v>
      </c>
      <c r="S119" s="25">
        <f t="shared" si="38"/>
        <v>1.3413632771338251</v>
      </c>
      <c r="T119" s="25">
        <f t="shared" si="64"/>
        <v>8.8125</v>
      </c>
      <c r="U119" s="25">
        <f t="shared" si="64"/>
        <v>-1.8</v>
      </c>
      <c r="V119" s="25">
        <f t="shared" si="64"/>
        <v>-0.23076923076923078</v>
      </c>
      <c r="W119" s="25">
        <f t="shared" si="64"/>
        <v>-1.3561643835616439</v>
      </c>
      <c r="X119" s="25">
        <f t="shared" si="64"/>
        <v>1.28125</v>
      </c>
    </row>
    <row r="120" spans="1:24" x14ac:dyDescent="0.25">
      <c r="A120" s="5" t="s">
        <v>29</v>
      </c>
      <c r="B120" s="2">
        <v>28</v>
      </c>
      <c r="C120" s="2">
        <v>87</v>
      </c>
      <c r="D120" s="2">
        <v>486</v>
      </c>
      <c r="E120" s="2">
        <v>-90</v>
      </c>
      <c r="F120" s="2">
        <v>637</v>
      </c>
      <c r="G120" s="2">
        <v>-876</v>
      </c>
      <c r="H120" s="2">
        <f t="shared" si="65"/>
        <v>272</v>
      </c>
      <c r="J120" s="33"/>
      <c r="K120" s="33"/>
      <c r="L120" s="33"/>
      <c r="M120" s="33"/>
      <c r="N120" s="33"/>
      <c r="O120" s="25"/>
      <c r="P120" s="25"/>
      <c r="Q120" s="30"/>
      <c r="R120" s="25">
        <f>RATE(5,0,G120,B120)</f>
        <v>-0.49773746411807618</v>
      </c>
      <c r="S120" s="25">
        <f t="shared" si="38"/>
        <v>-2.1535209615554671</v>
      </c>
      <c r="T120" s="25">
        <f t="shared" si="64"/>
        <v>-0.67816091954022983</v>
      </c>
      <c r="U120" s="25">
        <f t="shared" si="64"/>
        <v>-0.82098765432098764</v>
      </c>
      <c r="V120" s="25">
        <f t="shared" si="64"/>
        <v>-6.4</v>
      </c>
      <c r="W120" s="25">
        <f t="shared" si="64"/>
        <v>-1.141287284144427</v>
      </c>
      <c r="X120" s="25">
        <f t="shared" si="64"/>
        <v>-1.7271689497716896</v>
      </c>
    </row>
    <row r="121" spans="1:24" x14ac:dyDescent="0.25">
      <c r="A121" s="2" t="s">
        <v>153</v>
      </c>
      <c r="B121" s="10">
        <f>SUM(B114:B120)</f>
        <v>2469</v>
      </c>
      <c r="C121" s="10">
        <f t="shared" ref="C121:G121" si="67">SUM(C114:C120)</f>
        <v>5364</v>
      </c>
      <c r="D121" s="10">
        <f t="shared" si="67"/>
        <v>4929</v>
      </c>
      <c r="E121" s="10">
        <f t="shared" si="67"/>
        <v>3552</v>
      </c>
      <c r="F121" s="10">
        <f t="shared" si="67"/>
        <v>2574</v>
      </c>
      <c r="G121" s="10">
        <f t="shared" si="67"/>
        <v>501</v>
      </c>
      <c r="H121" s="10">
        <f t="shared" si="65"/>
        <v>19389</v>
      </c>
      <c r="J121" s="33">
        <f t="shared" ref="J121:O121" si="68">+B121/B$121</f>
        <v>1</v>
      </c>
      <c r="K121" s="33">
        <f t="shared" si="68"/>
        <v>1</v>
      </c>
      <c r="L121" s="33">
        <f t="shared" si="68"/>
        <v>1</v>
      </c>
      <c r="M121" s="33">
        <f t="shared" si="68"/>
        <v>1</v>
      </c>
      <c r="N121" s="33">
        <f t="shared" si="68"/>
        <v>1</v>
      </c>
      <c r="O121" s="33">
        <f t="shared" si="68"/>
        <v>1</v>
      </c>
      <c r="P121" s="33"/>
      <c r="Q121" s="30"/>
      <c r="R121" s="29">
        <f t="shared" si="37"/>
        <v>0.37574097606482232</v>
      </c>
      <c r="S121" s="29">
        <f t="shared" si="38"/>
        <v>0.89077817457706199</v>
      </c>
      <c r="T121" s="29">
        <f t="shared" si="64"/>
        <v>-0.53970917225950787</v>
      </c>
      <c r="U121" s="29">
        <f t="shared" si="64"/>
        <v>8.825319537431528E-2</v>
      </c>
      <c r="V121" s="29">
        <f t="shared" si="64"/>
        <v>0.38766891891891891</v>
      </c>
      <c r="W121" s="29">
        <f t="shared" si="64"/>
        <v>0.37995337995337997</v>
      </c>
      <c r="X121" s="29">
        <f t="shared" si="64"/>
        <v>4.1377245508982039</v>
      </c>
    </row>
    <row r="122" spans="1:24" x14ac:dyDescent="0.25">
      <c r="A122" s="2" t="s">
        <v>296</v>
      </c>
      <c r="B122" s="30"/>
      <c r="C122" s="30"/>
      <c r="D122" s="30"/>
      <c r="E122" s="30"/>
      <c r="F122" s="30"/>
      <c r="G122" s="30"/>
      <c r="H122" s="30"/>
      <c r="J122" s="33"/>
      <c r="K122" s="33"/>
      <c r="L122" s="33"/>
      <c r="M122" s="33"/>
      <c r="N122" s="33"/>
      <c r="O122" s="33"/>
      <c r="P122" s="33"/>
      <c r="Q122" s="30"/>
      <c r="R122" s="33"/>
      <c r="S122" s="33"/>
      <c r="T122" s="33"/>
      <c r="U122" s="33"/>
      <c r="V122" s="33"/>
      <c r="W122" s="33"/>
      <c r="X122" s="33"/>
    </row>
    <row r="123" spans="1:24" x14ac:dyDescent="0.25">
      <c r="A123" s="5" t="s">
        <v>297</v>
      </c>
      <c r="B123" s="32">
        <f>+B60+B116</f>
        <v>26257</v>
      </c>
      <c r="C123" s="32">
        <f t="shared" ref="C123:G123" si="69">+C60+C116</f>
        <v>26129</v>
      </c>
      <c r="D123" s="32">
        <f t="shared" si="69"/>
        <v>26159</v>
      </c>
      <c r="E123" s="32">
        <f t="shared" si="69"/>
        <v>25117</v>
      </c>
      <c r="F123" s="32">
        <f t="shared" si="69"/>
        <v>23988</v>
      </c>
      <c r="G123" s="32">
        <f t="shared" si="69"/>
        <v>23447</v>
      </c>
      <c r="H123" s="32">
        <f>SUM(B123:G123)</f>
        <v>151097</v>
      </c>
      <c r="J123" s="33"/>
      <c r="K123" s="33"/>
      <c r="L123" s="33"/>
      <c r="M123" s="33"/>
      <c r="N123" s="33"/>
      <c r="O123" s="33"/>
      <c r="P123" s="33"/>
      <c r="Q123" s="30"/>
      <c r="R123" s="33"/>
      <c r="S123" s="33"/>
      <c r="T123" s="33"/>
      <c r="U123" s="33"/>
      <c r="V123" s="33"/>
      <c r="W123" s="33"/>
      <c r="X123" s="33"/>
    </row>
    <row r="124" spans="1:24" x14ac:dyDescent="0.25">
      <c r="A124" s="54" t="s">
        <v>298</v>
      </c>
      <c r="B124" s="80">
        <f>-B61+B117+B118</f>
        <v>-19332</v>
      </c>
      <c r="C124" s="80">
        <f t="shared" ref="C124:G124" si="70">-C61+C117+C118</f>
        <v>-17096</v>
      </c>
      <c r="D124" s="80">
        <f t="shared" si="70"/>
        <v>-17050</v>
      </c>
      <c r="E124" s="80">
        <f t="shared" si="70"/>
        <v>-17165</v>
      </c>
      <c r="F124" s="80">
        <f t="shared" si="70"/>
        <v>-17621</v>
      </c>
      <c r="G124" s="80">
        <f t="shared" si="70"/>
        <v>-16838</v>
      </c>
      <c r="H124" s="80">
        <f t="shared" ref="H124:H154" si="71">SUM(B124:G124)</f>
        <v>-105102</v>
      </c>
      <c r="J124" s="33"/>
      <c r="K124" s="33"/>
      <c r="L124" s="33"/>
      <c r="M124" s="33"/>
      <c r="N124" s="33"/>
      <c r="O124" s="33"/>
      <c r="P124" s="33"/>
      <c r="Q124" s="30"/>
      <c r="R124" s="33"/>
      <c r="S124" s="33"/>
      <c r="T124" s="33"/>
      <c r="U124" s="33"/>
      <c r="V124" s="33"/>
      <c r="W124" s="33"/>
      <c r="X124" s="33"/>
    </row>
    <row r="125" spans="1:24" x14ac:dyDescent="0.25">
      <c r="A125" s="54" t="s">
        <v>299</v>
      </c>
      <c r="B125" s="57">
        <f>+B123+B124</f>
        <v>6925</v>
      </c>
      <c r="C125" s="57">
        <f t="shared" ref="C125:G125" si="72">+C123+C124</f>
        <v>9033</v>
      </c>
      <c r="D125" s="57">
        <f t="shared" si="72"/>
        <v>9109</v>
      </c>
      <c r="E125" s="57">
        <f t="shared" si="72"/>
        <v>7952</v>
      </c>
      <c r="F125" s="57">
        <f t="shared" si="72"/>
        <v>6367</v>
      </c>
      <c r="G125" s="57">
        <f t="shared" si="72"/>
        <v>6609</v>
      </c>
      <c r="H125" s="57">
        <f t="shared" si="71"/>
        <v>45995</v>
      </c>
      <c r="J125" s="33"/>
      <c r="K125" s="33"/>
      <c r="L125" s="33"/>
      <c r="M125" s="33"/>
      <c r="N125" s="33"/>
      <c r="O125" s="33"/>
      <c r="P125" s="33"/>
      <c r="Q125" s="30"/>
      <c r="R125" s="33"/>
      <c r="S125" s="33"/>
      <c r="T125" s="33"/>
      <c r="U125" s="33"/>
      <c r="V125" s="33"/>
      <c r="W125" s="33"/>
      <c r="X125" s="33"/>
    </row>
    <row r="126" spans="1:24" x14ac:dyDescent="0.25">
      <c r="A126" s="54" t="s">
        <v>300</v>
      </c>
      <c r="B126" s="80">
        <f t="shared" ref="B126:G127" si="73">-B159</f>
        <v>-937</v>
      </c>
      <c r="C126" s="80">
        <f t="shared" si="73"/>
        <v>-1196</v>
      </c>
      <c r="D126" s="80">
        <f t="shared" si="73"/>
        <v>-1286</v>
      </c>
      <c r="E126" s="80">
        <f t="shared" si="73"/>
        <v>-1306</v>
      </c>
      <c r="F126" s="80">
        <f t="shared" si="73"/>
        <v>-1322</v>
      </c>
      <c r="G126" s="80">
        <f t="shared" si="73"/>
        <v>-1269</v>
      </c>
      <c r="H126" s="80">
        <f t="shared" si="71"/>
        <v>-7316</v>
      </c>
      <c r="J126" s="33"/>
      <c r="K126" s="33"/>
      <c r="L126" s="33"/>
      <c r="M126" s="33"/>
      <c r="N126" s="33"/>
      <c r="O126" s="33"/>
      <c r="P126" s="33"/>
      <c r="Q126" s="30"/>
      <c r="R126" s="33"/>
      <c r="S126" s="33"/>
      <c r="T126" s="33"/>
      <c r="U126" s="33"/>
      <c r="V126" s="33"/>
      <c r="W126" s="33"/>
      <c r="X126" s="33"/>
    </row>
    <row r="127" spans="1:24" x14ac:dyDescent="0.25">
      <c r="A127" s="54" t="s">
        <v>301</v>
      </c>
      <c r="B127" s="80">
        <f t="shared" si="73"/>
        <v>-1260</v>
      </c>
      <c r="C127" s="80">
        <f t="shared" si="73"/>
        <v>-1295</v>
      </c>
      <c r="D127" s="80">
        <f t="shared" si="73"/>
        <v>-1027</v>
      </c>
      <c r="E127" s="80">
        <f t="shared" si="73"/>
        <v>-974</v>
      </c>
      <c r="F127" s="80">
        <f t="shared" si="73"/>
        <v>-543</v>
      </c>
      <c r="G127" s="80">
        <f t="shared" si="73"/>
        <v>-1206</v>
      </c>
      <c r="H127" s="80">
        <f t="shared" si="71"/>
        <v>-6305</v>
      </c>
      <c r="J127" s="33"/>
      <c r="K127" s="33"/>
      <c r="L127" s="33"/>
      <c r="M127" s="33"/>
      <c r="N127" s="33"/>
      <c r="O127" s="33"/>
      <c r="P127" s="33"/>
      <c r="Q127" s="30"/>
      <c r="R127" s="33"/>
      <c r="S127" s="33"/>
      <c r="T127" s="33"/>
      <c r="U127" s="33"/>
      <c r="V127" s="33"/>
      <c r="W127" s="33"/>
      <c r="X127" s="33"/>
    </row>
    <row r="128" spans="1:24" x14ac:dyDescent="0.25">
      <c r="A128" s="54" t="s">
        <v>302</v>
      </c>
      <c r="B128" s="80">
        <f>+B111</f>
        <v>0</v>
      </c>
      <c r="C128" s="80">
        <f t="shared" ref="C128:G128" si="74">+C111</f>
        <v>1587</v>
      </c>
      <c r="D128" s="80">
        <f t="shared" si="74"/>
        <v>0</v>
      </c>
      <c r="E128" s="80">
        <f t="shared" si="74"/>
        <v>0</v>
      </c>
      <c r="F128" s="80">
        <f t="shared" si="74"/>
        <v>0</v>
      </c>
      <c r="G128" s="80">
        <f t="shared" si="74"/>
        <v>0</v>
      </c>
      <c r="H128" s="80">
        <f t="shared" si="71"/>
        <v>1587</v>
      </c>
      <c r="J128" s="33"/>
      <c r="K128" s="33"/>
      <c r="L128" s="33"/>
      <c r="M128" s="33"/>
      <c r="N128" s="33"/>
      <c r="O128" s="33"/>
      <c r="P128" s="33"/>
      <c r="Q128" s="30"/>
      <c r="R128" s="33"/>
      <c r="S128" s="33"/>
      <c r="T128" s="33"/>
      <c r="U128" s="33"/>
      <c r="V128" s="33"/>
      <c r="W128" s="33"/>
      <c r="X128" s="33"/>
    </row>
    <row r="129" spans="1:24" x14ac:dyDescent="0.25">
      <c r="A129" s="54" t="s">
        <v>143</v>
      </c>
      <c r="B129" s="80">
        <f>+B107</f>
        <v>-23</v>
      </c>
      <c r="C129" s="80">
        <f t="shared" ref="C129:G129" si="75">+C107</f>
        <v>-27</v>
      </c>
      <c r="D129" s="80">
        <f t="shared" si="75"/>
        <v>-27</v>
      </c>
      <c r="E129" s="80">
        <f t="shared" si="75"/>
        <v>-32</v>
      </c>
      <c r="F129" s="80">
        <f t="shared" si="75"/>
        <v>-76</v>
      </c>
      <c r="G129" s="80">
        <f t="shared" si="75"/>
        <v>-1659</v>
      </c>
      <c r="H129" s="80">
        <f t="shared" si="71"/>
        <v>-1844</v>
      </c>
      <c r="J129" s="33"/>
      <c r="K129" s="33"/>
      <c r="L129" s="33"/>
      <c r="M129" s="33"/>
      <c r="N129" s="33"/>
      <c r="O129" s="33"/>
      <c r="P129" s="33"/>
      <c r="Q129" s="30"/>
      <c r="R129" s="33"/>
      <c r="S129" s="33"/>
      <c r="T129" s="33"/>
      <c r="U129" s="33"/>
      <c r="V129" s="33"/>
      <c r="W129" s="33"/>
      <c r="X129" s="33"/>
    </row>
    <row r="130" spans="1:24" x14ac:dyDescent="0.25">
      <c r="A130" s="54" t="s">
        <v>303</v>
      </c>
      <c r="B130" s="80">
        <f>-B161</f>
        <v>-173</v>
      </c>
      <c r="C130" s="80">
        <f t="shared" ref="C130:G130" si="76">-C161</f>
        <v>-176</v>
      </c>
      <c r="D130" s="80">
        <f t="shared" si="76"/>
        <v>-173</v>
      </c>
      <c r="E130" s="80">
        <f t="shared" si="76"/>
        <v>-191</v>
      </c>
      <c r="F130" s="80">
        <f t="shared" si="76"/>
        <v>-200</v>
      </c>
      <c r="G130" s="80">
        <f t="shared" si="76"/>
        <v>-244</v>
      </c>
      <c r="H130" s="80">
        <f t="shared" si="71"/>
        <v>-1157</v>
      </c>
      <c r="J130" s="33"/>
      <c r="K130" s="33"/>
      <c r="L130" s="33"/>
      <c r="M130" s="33"/>
      <c r="N130" s="33"/>
      <c r="O130" s="33"/>
      <c r="P130" s="33"/>
      <c r="Q130" s="30"/>
      <c r="R130" s="33"/>
      <c r="S130" s="33"/>
      <c r="T130" s="33"/>
      <c r="U130" s="33"/>
      <c r="V130" s="33"/>
      <c r="W130" s="33"/>
      <c r="X130" s="33"/>
    </row>
    <row r="131" spans="1:24" x14ac:dyDescent="0.25">
      <c r="A131" s="54" t="s">
        <v>304</v>
      </c>
      <c r="B131" s="80">
        <f t="shared" ref="B131:G131" si="77">+B132-SUM(B125:B130)</f>
        <v>-2063</v>
      </c>
      <c r="C131" s="80">
        <f t="shared" si="77"/>
        <v>-2562</v>
      </c>
      <c r="D131" s="80">
        <f t="shared" si="77"/>
        <v>-1667</v>
      </c>
      <c r="E131" s="80">
        <f t="shared" si="77"/>
        <v>-1897</v>
      </c>
      <c r="F131" s="80">
        <f t="shared" si="77"/>
        <v>-1652</v>
      </c>
      <c r="G131" s="80">
        <f t="shared" si="77"/>
        <v>-1730</v>
      </c>
      <c r="H131" s="80">
        <f t="shared" si="71"/>
        <v>-11571</v>
      </c>
      <c r="J131" s="33"/>
      <c r="K131" s="33"/>
      <c r="L131" s="33"/>
      <c r="M131" s="33"/>
      <c r="N131" s="33"/>
      <c r="O131" s="33"/>
      <c r="P131" s="33"/>
      <c r="Q131" s="30"/>
      <c r="R131" s="33"/>
      <c r="S131" s="33"/>
      <c r="T131" s="33"/>
      <c r="U131" s="33"/>
      <c r="V131" s="33"/>
      <c r="W131" s="33"/>
      <c r="X131" s="33"/>
    </row>
    <row r="132" spans="1:24" x14ac:dyDescent="0.25">
      <c r="A132" s="19" t="s">
        <v>153</v>
      </c>
      <c r="B132" s="55">
        <f>+B121</f>
        <v>2469</v>
      </c>
      <c r="C132" s="55">
        <f t="shared" ref="C132:G132" si="78">+C121</f>
        <v>5364</v>
      </c>
      <c r="D132" s="55">
        <f t="shared" si="78"/>
        <v>4929</v>
      </c>
      <c r="E132" s="55">
        <f t="shared" si="78"/>
        <v>3552</v>
      </c>
      <c r="F132" s="55">
        <f t="shared" si="78"/>
        <v>2574</v>
      </c>
      <c r="G132" s="55">
        <f t="shared" si="78"/>
        <v>501</v>
      </c>
      <c r="H132" s="55">
        <f t="shared" si="71"/>
        <v>19389</v>
      </c>
      <c r="J132" s="33"/>
      <c r="K132" s="33"/>
      <c r="L132" s="33"/>
      <c r="M132" s="33"/>
      <c r="N132" s="33"/>
      <c r="O132" s="33"/>
      <c r="P132" s="33"/>
      <c r="Q132" s="30"/>
      <c r="R132" s="33"/>
      <c r="S132" s="33"/>
      <c r="T132" s="33"/>
      <c r="U132" s="33"/>
      <c r="V132" s="33"/>
      <c r="W132" s="33"/>
      <c r="X132" s="33"/>
    </row>
    <row r="133" spans="1:24" x14ac:dyDescent="0.25">
      <c r="A133" s="19" t="s">
        <v>154</v>
      </c>
      <c r="B133" s="19"/>
      <c r="C133" s="19"/>
      <c r="D133" s="19"/>
      <c r="E133" s="19"/>
      <c r="F133" s="19"/>
      <c r="G133" s="19"/>
      <c r="H133" s="19"/>
      <c r="J133" s="25"/>
      <c r="K133" s="25"/>
      <c r="L133" s="25"/>
      <c r="M133" s="25"/>
      <c r="N133" s="25"/>
      <c r="O133" s="25"/>
      <c r="P133" s="25"/>
      <c r="R133" s="25"/>
      <c r="S133" s="25"/>
      <c r="T133" s="25"/>
      <c r="U133" s="25"/>
      <c r="V133" s="25"/>
      <c r="W133" s="25"/>
      <c r="X133" s="25"/>
    </row>
    <row r="134" spans="1:24" x14ac:dyDescent="0.25">
      <c r="A134" s="54" t="s">
        <v>155</v>
      </c>
      <c r="B134" s="19">
        <v>-916</v>
      </c>
      <c r="C134" s="19">
        <v>-905</v>
      </c>
      <c r="D134" s="19">
        <v>-596</v>
      </c>
      <c r="E134" s="19">
        <v>-768</v>
      </c>
      <c r="F134" s="19">
        <v>-826</v>
      </c>
      <c r="G134" s="19">
        <v>-1194</v>
      </c>
      <c r="H134" s="19">
        <f t="shared" si="71"/>
        <v>-5205</v>
      </c>
      <c r="J134" s="25">
        <f t="shared" ref="J134:O140" si="79">+B134/B$121</f>
        <v>-0.37100040502227621</v>
      </c>
      <c r="K134" s="25">
        <f t="shared" si="79"/>
        <v>-0.16871737509321402</v>
      </c>
      <c r="L134" s="25">
        <f t="shared" si="79"/>
        <v>-0.12091702170825726</v>
      </c>
      <c r="M134" s="25">
        <f t="shared" si="79"/>
        <v>-0.21621621621621623</v>
      </c>
      <c r="N134" s="25">
        <f t="shared" si="79"/>
        <v>-0.3209013209013209</v>
      </c>
      <c r="O134" s="25">
        <f t="shared" si="79"/>
        <v>-2.3832335329341316</v>
      </c>
      <c r="P134" s="25"/>
      <c r="R134" s="25">
        <f t="shared" si="37"/>
        <v>-5.1629078507473856E-2</v>
      </c>
      <c r="S134" s="25">
        <f t="shared" si="38"/>
        <v>-1.4354576845997035E-2</v>
      </c>
      <c r="T134" s="25">
        <f t="shared" ref="T134:X140" si="80">(+B134-C134)/C134</f>
        <v>1.2154696132596685E-2</v>
      </c>
      <c r="U134" s="25">
        <f t="shared" si="80"/>
        <v>0.51845637583892612</v>
      </c>
      <c r="V134" s="25">
        <f t="shared" si="80"/>
        <v>-0.22395833333333334</v>
      </c>
      <c r="W134" s="25">
        <f t="shared" si="80"/>
        <v>-7.0217917675544791E-2</v>
      </c>
      <c r="X134" s="25">
        <f t="shared" si="80"/>
        <v>-0.3082077051926298</v>
      </c>
    </row>
    <row r="135" spans="1:24" x14ac:dyDescent="0.25">
      <c r="A135" s="54" t="s">
        <v>156</v>
      </c>
      <c r="B135" s="19">
        <v>0</v>
      </c>
      <c r="C135" s="19">
        <v>0</v>
      </c>
      <c r="D135" s="19">
        <v>0</v>
      </c>
      <c r="E135" s="19">
        <v>0</v>
      </c>
      <c r="F135" s="19">
        <v>1296</v>
      </c>
      <c r="G135" s="19">
        <v>2286</v>
      </c>
      <c r="H135" s="19">
        <f t="shared" si="71"/>
        <v>3582</v>
      </c>
      <c r="J135" s="25">
        <f t="shared" si="79"/>
        <v>0</v>
      </c>
      <c r="K135" s="25">
        <f t="shared" si="79"/>
        <v>0</v>
      </c>
      <c r="L135" s="25">
        <f t="shared" si="79"/>
        <v>0</v>
      </c>
      <c r="M135" s="25">
        <f t="shared" si="79"/>
        <v>0</v>
      </c>
      <c r="N135" s="25">
        <f t="shared" si="79"/>
        <v>0.50349650349650354</v>
      </c>
      <c r="O135" s="25">
        <f t="shared" si="79"/>
        <v>4.5628742514970062</v>
      </c>
      <c r="P135" s="25"/>
      <c r="R135" s="25">
        <f t="shared" si="37"/>
        <v>-0.99999940914518248</v>
      </c>
      <c r="S135" s="25">
        <f t="shared" si="38"/>
        <v>-0.7165354330708662</v>
      </c>
      <c r="T135" s="25"/>
      <c r="U135" s="25"/>
      <c r="V135" s="25"/>
      <c r="W135" s="25">
        <f t="shared" si="80"/>
        <v>-1</v>
      </c>
      <c r="X135" s="25">
        <f t="shared" si="80"/>
        <v>-0.43307086614173229</v>
      </c>
    </row>
    <row r="136" spans="1:24" x14ac:dyDescent="0.25">
      <c r="A136" s="54" t="s">
        <v>305</v>
      </c>
      <c r="B136" s="19">
        <v>-481</v>
      </c>
      <c r="C136" s="19">
        <v>-74</v>
      </c>
      <c r="D136" s="19">
        <v>0</v>
      </c>
      <c r="E136" s="19">
        <v>-199</v>
      </c>
      <c r="F136" s="19">
        <v>-248</v>
      </c>
      <c r="G136" s="19">
        <v>0</v>
      </c>
      <c r="H136" s="19">
        <f t="shared" si="71"/>
        <v>-1002</v>
      </c>
      <c r="J136" s="25">
        <f t="shared" si="79"/>
        <v>-0.19481571486431754</v>
      </c>
      <c r="K136" s="25">
        <f t="shared" si="79"/>
        <v>-1.3795674869500374E-2</v>
      </c>
      <c r="L136" s="25">
        <f t="shared" si="79"/>
        <v>0</v>
      </c>
      <c r="M136" s="25">
        <f t="shared" si="79"/>
        <v>-5.6024774774774772E-2</v>
      </c>
      <c r="N136" s="25">
        <f t="shared" si="79"/>
        <v>-9.6348096348096351E-2</v>
      </c>
      <c r="O136" s="25">
        <f t="shared" si="79"/>
        <v>0</v>
      </c>
      <c r="P136" s="25"/>
      <c r="R136" s="25"/>
      <c r="S136" s="25">
        <f t="shared" si="38"/>
        <v>1.4341397849462367</v>
      </c>
      <c r="T136" s="25">
        <f t="shared" si="80"/>
        <v>5.5</v>
      </c>
      <c r="U136" s="25"/>
      <c r="V136" s="25">
        <f t="shared" si="80"/>
        <v>-1</v>
      </c>
      <c r="W136" s="25">
        <f t="shared" si="80"/>
        <v>-0.19758064516129031</v>
      </c>
      <c r="X136" s="25"/>
    </row>
    <row r="137" spans="1:24" x14ac:dyDescent="0.25">
      <c r="A137" s="54" t="s">
        <v>158</v>
      </c>
      <c r="B137" s="19">
        <v>208</v>
      </c>
      <c r="C137" s="19">
        <v>-28</v>
      </c>
      <c r="D137" s="19">
        <v>25</v>
      </c>
      <c r="E137" s="19">
        <v>590</v>
      </c>
      <c r="F137" s="19">
        <v>24</v>
      </c>
      <c r="G137" s="19">
        <v>0</v>
      </c>
      <c r="H137" s="19">
        <f t="shared" si="71"/>
        <v>819</v>
      </c>
      <c r="J137" s="25">
        <f t="shared" si="79"/>
        <v>8.4244633454840012E-2</v>
      </c>
      <c r="K137" s="25">
        <f t="shared" si="79"/>
        <v>-5.219985085756898E-3</v>
      </c>
      <c r="L137" s="25">
        <f t="shared" si="79"/>
        <v>5.0720227226617974E-3</v>
      </c>
      <c r="M137" s="25">
        <f t="shared" si="79"/>
        <v>0.1661036036036036</v>
      </c>
      <c r="N137" s="25">
        <f t="shared" si="79"/>
        <v>9.324009324009324E-3</v>
      </c>
      <c r="O137" s="25">
        <f t="shared" si="79"/>
        <v>0</v>
      </c>
      <c r="P137" s="25"/>
      <c r="R137" s="25"/>
      <c r="S137" s="25">
        <f t="shared" si="38"/>
        <v>3.0192836965294592</v>
      </c>
      <c r="T137" s="25">
        <f t="shared" si="80"/>
        <v>-8.4285714285714288</v>
      </c>
      <c r="U137" s="25">
        <f t="shared" si="80"/>
        <v>-2.12</v>
      </c>
      <c r="V137" s="25">
        <f t="shared" si="80"/>
        <v>-0.9576271186440678</v>
      </c>
      <c r="W137" s="25">
        <f t="shared" si="80"/>
        <v>23.583333333333332</v>
      </c>
      <c r="X137" s="25"/>
    </row>
    <row r="138" spans="1:24" x14ac:dyDescent="0.25">
      <c r="A138" s="54" t="s">
        <v>159</v>
      </c>
      <c r="B138" s="19">
        <v>88</v>
      </c>
      <c r="C138" s="19">
        <v>5014</v>
      </c>
      <c r="D138" s="19">
        <v>0</v>
      </c>
      <c r="E138" s="19">
        <v>1875</v>
      </c>
      <c r="F138" s="19">
        <v>18</v>
      </c>
      <c r="G138" s="19">
        <v>0</v>
      </c>
      <c r="H138" s="19">
        <f t="shared" si="71"/>
        <v>6995</v>
      </c>
      <c r="J138" s="25">
        <f t="shared" si="79"/>
        <v>3.5641960307816932E-2</v>
      </c>
      <c r="K138" s="25">
        <f t="shared" si="79"/>
        <v>0.93475018642803875</v>
      </c>
      <c r="L138" s="25">
        <f t="shared" si="79"/>
        <v>0</v>
      </c>
      <c r="M138" s="25">
        <f t="shared" si="79"/>
        <v>0.5278716216216216</v>
      </c>
      <c r="N138" s="25">
        <f t="shared" si="79"/>
        <v>6.993006993006993E-3</v>
      </c>
      <c r="O138" s="25">
        <f t="shared" si="79"/>
        <v>0</v>
      </c>
      <c r="P138" s="33"/>
      <c r="R138" s="25"/>
      <c r="S138" s="25">
        <f t="shared" si="38"/>
        <v>33.728072508088466</v>
      </c>
      <c r="T138" s="25">
        <f t="shared" si="80"/>
        <v>-0.98244914240127645</v>
      </c>
      <c r="U138" s="25"/>
      <c r="V138" s="25">
        <f t="shared" si="80"/>
        <v>-1</v>
      </c>
      <c r="W138" s="25">
        <f t="shared" si="80"/>
        <v>103.16666666666667</v>
      </c>
      <c r="X138" s="25"/>
    </row>
    <row r="139" spans="1:24" x14ac:dyDescent="0.25">
      <c r="A139" s="54" t="s">
        <v>160</v>
      </c>
      <c r="B139" s="19">
        <v>10</v>
      </c>
      <c r="C139" s="19">
        <v>31</v>
      </c>
      <c r="D139" s="19">
        <v>49</v>
      </c>
      <c r="E139" s="19">
        <v>13</v>
      </c>
      <c r="F139" s="19">
        <v>24</v>
      </c>
      <c r="G139" s="19">
        <v>85</v>
      </c>
      <c r="H139" s="19">
        <f t="shared" si="71"/>
        <v>212</v>
      </c>
      <c r="J139" s="25">
        <f t="shared" si="79"/>
        <v>4.0502227622519239E-3</v>
      </c>
      <c r="K139" s="25">
        <f t="shared" si="79"/>
        <v>5.779269202087994E-3</v>
      </c>
      <c r="L139" s="25">
        <f t="shared" si="79"/>
        <v>9.9411645364171231E-3</v>
      </c>
      <c r="M139" s="25">
        <f t="shared" si="79"/>
        <v>3.6599099099099098E-3</v>
      </c>
      <c r="N139" s="25">
        <f t="shared" si="79"/>
        <v>9.324009324009324E-3</v>
      </c>
      <c r="O139" s="25">
        <f t="shared" si="79"/>
        <v>0.16966067864271456</v>
      </c>
      <c r="P139" s="33"/>
      <c r="Q139" s="30"/>
      <c r="R139" s="25">
        <f t="shared" si="37"/>
        <v>-0.34819721036856505</v>
      </c>
      <c r="S139" s="25">
        <f t="shared" si="38"/>
        <v>0.10969681669193732</v>
      </c>
      <c r="T139" s="25">
        <f t="shared" si="80"/>
        <v>-0.67741935483870963</v>
      </c>
      <c r="U139" s="25">
        <f t="shared" si="80"/>
        <v>-0.36734693877551022</v>
      </c>
      <c r="V139" s="25">
        <f t="shared" si="80"/>
        <v>2.7692307692307692</v>
      </c>
      <c r="W139" s="25">
        <f t="shared" si="80"/>
        <v>-0.45833333333333331</v>
      </c>
      <c r="X139" s="25">
        <f t="shared" si="80"/>
        <v>-0.71764705882352942</v>
      </c>
    </row>
    <row r="140" spans="1:24" x14ac:dyDescent="0.25">
      <c r="A140" s="19" t="s">
        <v>161</v>
      </c>
      <c r="B140" s="55">
        <f>SUM(B134:B139)</f>
        <v>-1091</v>
      </c>
      <c r="C140" s="55">
        <f t="shared" ref="C140:G140" si="81">SUM(C134:C139)</f>
        <v>4038</v>
      </c>
      <c r="D140" s="55">
        <f t="shared" si="81"/>
        <v>-522</v>
      </c>
      <c r="E140" s="55">
        <f t="shared" si="81"/>
        <v>1511</v>
      </c>
      <c r="F140" s="55">
        <f t="shared" si="81"/>
        <v>288</v>
      </c>
      <c r="G140" s="55">
        <f t="shared" si="81"/>
        <v>1177</v>
      </c>
      <c r="H140" s="55">
        <f t="shared" si="71"/>
        <v>5401</v>
      </c>
      <c r="J140" s="29">
        <f t="shared" si="79"/>
        <v>-0.44187930336168491</v>
      </c>
      <c r="K140" s="29">
        <f t="shared" si="79"/>
        <v>0.75279642058165552</v>
      </c>
      <c r="L140" s="29">
        <f t="shared" si="79"/>
        <v>-0.10590383444917834</v>
      </c>
      <c r="M140" s="29">
        <f t="shared" si="79"/>
        <v>0.42539414414414417</v>
      </c>
      <c r="N140" s="29">
        <f t="shared" si="79"/>
        <v>0.11188811188811189</v>
      </c>
      <c r="O140" s="29">
        <f t="shared" si="79"/>
        <v>2.3493013972055889</v>
      </c>
      <c r="P140" s="33"/>
      <c r="Q140" s="30"/>
      <c r="R140" s="29">
        <f>((B140/G140)^1/5)-1</f>
        <v>-1.1853865760407816</v>
      </c>
      <c r="S140" s="29">
        <f t="shared" si="38"/>
        <v>-1.5720128708089158</v>
      </c>
      <c r="T140" s="29">
        <f t="shared" si="80"/>
        <v>-1.2701832590391282</v>
      </c>
      <c r="U140" s="29">
        <f t="shared" si="80"/>
        <v>-8.7356321839080469</v>
      </c>
      <c r="V140" s="29">
        <f t="shared" si="80"/>
        <v>-1.3454665784248843</v>
      </c>
      <c r="W140" s="29">
        <f t="shared" si="80"/>
        <v>4.2465277777777777</v>
      </c>
      <c r="X140" s="29">
        <f t="shared" si="80"/>
        <v>-0.75531011045029739</v>
      </c>
    </row>
    <row r="141" spans="1:24" x14ac:dyDescent="0.25">
      <c r="A141" s="19" t="s">
        <v>162</v>
      </c>
      <c r="B141" s="19"/>
      <c r="C141" s="19"/>
      <c r="D141" s="19"/>
      <c r="E141" s="19"/>
      <c r="F141" s="19"/>
      <c r="G141" s="19"/>
      <c r="H141" s="19"/>
      <c r="J141" s="25"/>
      <c r="K141" s="25"/>
      <c r="L141" s="25"/>
      <c r="M141" s="25"/>
      <c r="N141" s="25"/>
      <c r="O141" s="25"/>
      <c r="P141" s="33"/>
      <c r="Q141" s="30"/>
      <c r="R141" s="25"/>
      <c r="S141" s="25"/>
      <c r="T141" s="25"/>
      <c r="U141" s="25"/>
      <c r="V141" s="25"/>
      <c r="W141" s="25"/>
      <c r="X141" s="25"/>
    </row>
    <row r="142" spans="1:24" x14ac:dyDescent="0.25">
      <c r="A142" s="56" t="s">
        <v>163</v>
      </c>
      <c r="B142" s="19">
        <v>-1465</v>
      </c>
      <c r="C142" s="19">
        <v>-6202</v>
      </c>
      <c r="D142" s="19">
        <v>-4697</v>
      </c>
      <c r="E142" s="19">
        <v>-4795</v>
      </c>
      <c r="F142" s="19">
        <v>-2713</v>
      </c>
      <c r="G142" s="19">
        <v>-2641</v>
      </c>
      <c r="H142" s="19">
        <f t="shared" si="71"/>
        <v>-22513</v>
      </c>
      <c r="J142" s="25">
        <f t="shared" ref="J142:O148" si="82">+B142/B$121</f>
        <v>-0.59335763466990687</v>
      </c>
      <c r="K142" s="25">
        <f t="shared" si="82"/>
        <v>-1.1562266964951529</v>
      </c>
      <c r="L142" s="25">
        <f t="shared" si="82"/>
        <v>-0.95293162913369855</v>
      </c>
      <c r="M142" s="25">
        <f t="shared" si="82"/>
        <v>-1.3499436936936937</v>
      </c>
      <c r="N142" s="25">
        <f t="shared" si="82"/>
        <v>-1.0540015540015539</v>
      </c>
      <c r="O142" s="25">
        <f t="shared" si="82"/>
        <v>-5.2714570858283434</v>
      </c>
      <c r="P142" s="33"/>
      <c r="Q142" s="30"/>
      <c r="R142" s="25">
        <f t="shared" si="37"/>
        <v>-0.11117994623485696</v>
      </c>
      <c r="S142" s="25">
        <f t="shared" si="38"/>
        <v>6.6174400199464883E-2</v>
      </c>
      <c r="T142" s="25">
        <f t="shared" ref="T142:X148" si="83">(+B142-C142)/C142</f>
        <v>-0.76378587552402455</v>
      </c>
      <c r="U142" s="25">
        <f t="shared" si="83"/>
        <v>0.32041728763040239</v>
      </c>
      <c r="V142" s="25">
        <f t="shared" si="83"/>
        <v>-2.0437956204379562E-2</v>
      </c>
      <c r="W142" s="25">
        <f t="shared" si="83"/>
        <v>0.76741614448949502</v>
      </c>
      <c r="X142" s="25">
        <f t="shared" si="83"/>
        <v>2.7262400605831124E-2</v>
      </c>
    </row>
    <row r="143" spans="1:24" x14ac:dyDescent="0.25">
      <c r="A143" s="56" t="s">
        <v>164</v>
      </c>
      <c r="B143" s="19">
        <v>0</v>
      </c>
      <c r="C143" s="19">
        <v>0</v>
      </c>
      <c r="D143" s="19">
        <v>3500</v>
      </c>
      <c r="E143" s="19">
        <v>2967</v>
      </c>
      <c r="F143" s="19">
        <v>2990</v>
      </c>
      <c r="G143" s="19">
        <v>1496</v>
      </c>
      <c r="H143" s="19">
        <f t="shared" si="71"/>
        <v>10953</v>
      </c>
      <c r="J143" s="25">
        <f t="shared" si="82"/>
        <v>0</v>
      </c>
      <c r="K143" s="25">
        <f t="shared" si="82"/>
        <v>0</v>
      </c>
      <c r="L143" s="25">
        <f t="shared" si="82"/>
        <v>0.71008318117265168</v>
      </c>
      <c r="M143" s="25">
        <f t="shared" si="82"/>
        <v>0.83530405405405406</v>
      </c>
      <c r="N143" s="25">
        <f t="shared" si="82"/>
        <v>1.1616161616161615</v>
      </c>
      <c r="O143" s="25">
        <f t="shared" si="82"/>
        <v>2.9860279441117763</v>
      </c>
      <c r="P143" s="33"/>
      <c r="Q143" s="30"/>
      <c r="R143" s="25">
        <f t="shared" si="37"/>
        <v>-0.99999940914518248</v>
      </c>
      <c r="S143" s="25">
        <f t="shared" si="38"/>
        <v>4.2653382670779921E-2</v>
      </c>
      <c r="T143" s="25"/>
      <c r="U143" s="25">
        <f t="shared" si="83"/>
        <v>-1</v>
      </c>
      <c r="V143" s="25">
        <f t="shared" si="83"/>
        <v>0.17964273677114931</v>
      </c>
      <c r="W143" s="25">
        <f t="shared" si="83"/>
        <v>-7.6923076923076927E-3</v>
      </c>
      <c r="X143" s="25">
        <f t="shared" si="83"/>
        <v>0.99866310160427807</v>
      </c>
    </row>
    <row r="144" spans="1:24" x14ac:dyDescent="0.25">
      <c r="A144" s="56" t="s">
        <v>165</v>
      </c>
      <c r="B144" s="19">
        <v>10</v>
      </c>
      <c r="C144" s="19">
        <v>-924</v>
      </c>
      <c r="D144" s="19">
        <v>-116</v>
      </c>
      <c r="E144" s="19">
        <v>-99</v>
      </c>
      <c r="F144" s="19">
        <v>0</v>
      </c>
      <c r="G144" s="19">
        <v>0</v>
      </c>
      <c r="H144" s="19">
        <f t="shared" si="71"/>
        <v>-1129</v>
      </c>
      <c r="J144" s="25">
        <f t="shared" si="82"/>
        <v>4.0502227622519239E-3</v>
      </c>
      <c r="K144" s="25">
        <f t="shared" si="82"/>
        <v>-0.17225950782997762</v>
      </c>
      <c r="L144" s="25">
        <f t="shared" si="82"/>
        <v>-2.353418543315074E-2</v>
      </c>
      <c r="M144" s="25">
        <f t="shared" si="82"/>
        <v>-2.7871621621621621E-2</v>
      </c>
      <c r="N144" s="25">
        <f t="shared" si="82"/>
        <v>0</v>
      </c>
      <c r="O144" s="25">
        <f t="shared" si="82"/>
        <v>0</v>
      </c>
      <c r="P144" s="33"/>
      <c r="Q144" s="30"/>
      <c r="R144" s="25"/>
      <c r="S144" s="25">
        <f t="shared" si="38"/>
        <v>2.0421373007579908</v>
      </c>
      <c r="T144" s="25">
        <f t="shared" si="83"/>
        <v>-1.0108225108225108</v>
      </c>
      <c r="U144" s="25">
        <f t="shared" si="83"/>
        <v>6.9655172413793105</v>
      </c>
      <c r="V144" s="25">
        <f t="shared" si="83"/>
        <v>0.17171717171717171</v>
      </c>
      <c r="W144" s="25"/>
      <c r="X144" s="25"/>
    </row>
    <row r="145" spans="1:24" x14ac:dyDescent="0.25">
      <c r="A145" s="56" t="s">
        <v>166</v>
      </c>
      <c r="B145" s="19">
        <v>0</v>
      </c>
      <c r="C145" s="19">
        <v>0</v>
      </c>
      <c r="D145" s="19">
        <v>4000</v>
      </c>
      <c r="E145" s="19">
        <v>0</v>
      </c>
      <c r="F145" s="19">
        <v>0</v>
      </c>
      <c r="G145" s="19">
        <v>0</v>
      </c>
      <c r="H145" s="19">
        <f t="shared" si="71"/>
        <v>4000</v>
      </c>
      <c r="J145" s="25">
        <f t="shared" si="82"/>
        <v>0</v>
      </c>
      <c r="K145" s="25">
        <f t="shared" si="82"/>
        <v>0</v>
      </c>
      <c r="L145" s="25">
        <f t="shared" si="82"/>
        <v>0.81152363562588758</v>
      </c>
      <c r="M145" s="25">
        <f t="shared" si="82"/>
        <v>0</v>
      </c>
      <c r="N145" s="25">
        <f t="shared" si="82"/>
        <v>0</v>
      </c>
      <c r="O145" s="25">
        <f t="shared" si="82"/>
        <v>0</v>
      </c>
      <c r="P145" s="33"/>
      <c r="Q145" s="30"/>
      <c r="R145" s="25"/>
      <c r="S145" s="25">
        <f t="shared" si="38"/>
        <v>-1</v>
      </c>
      <c r="T145" s="25"/>
      <c r="U145" s="25">
        <f t="shared" si="83"/>
        <v>-1</v>
      </c>
      <c r="V145" s="25"/>
      <c r="W145" s="25"/>
      <c r="X145" s="25"/>
    </row>
    <row r="146" spans="1:24" x14ac:dyDescent="0.25">
      <c r="A146" s="56" t="s">
        <v>167</v>
      </c>
      <c r="B146" s="19">
        <v>0</v>
      </c>
      <c r="C146" s="19">
        <v>0</v>
      </c>
      <c r="D146" s="19">
        <v>-4000</v>
      </c>
      <c r="E146" s="19">
        <v>0</v>
      </c>
      <c r="F146" s="19">
        <v>0</v>
      </c>
      <c r="G146" s="19">
        <v>0</v>
      </c>
      <c r="H146" s="19">
        <f t="shared" si="71"/>
        <v>-4000</v>
      </c>
      <c r="J146" s="25">
        <f t="shared" si="82"/>
        <v>0</v>
      </c>
      <c r="K146" s="25">
        <f t="shared" si="82"/>
        <v>0</v>
      </c>
      <c r="L146" s="25">
        <f t="shared" si="82"/>
        <v>-0.81152363562588758</v>
      </c>
      <c r="M146" s="25">
        <f t="shared" si="82"/>
        <v>0</v>
      </c>
      <c r="N146" s="25">
        <f t="shared" si="82"/>
        <v>0</v>
      </c>
      <c r="O146" s="25">
        <f t="shared" si="82"/>
        <v>0</v>
      </c>
      <c r="P146" s="33"/>
      <c r="Q146" s="30"/>
      <c r="R146" s="25"/>
      <c r="S146" s="25">
        <f t="shared" si="38"/>
        <v>-1</v>
      </c>
      <c r="T146" s="25"/>
      <c r="U146" s="25">
        <f t="shared" si="83"/>
        <v>-1</v>
      </c>
      <c r="V146" s="25"/>
      <c r="W146" s="25"/>
      <c r="X146" s="25"/>
    </row>
    <row r="147" spans="1:24" x14ac:dyDescent="0.25">
      <c r="A147" s="56" t="s">
        <v>168</v>
      </c>
      <c r="B147" s="19">
        <v>228</v>
      </c>
      <c r="C147" s="19">
        <v>0</v>
      </c>
      <c r="D147" s="19">
        <v>0</v>
      </c>
      <c r="E147" s="19">
        <v>557</v>
      </c>
      <c r="F147" s="19">
        <v>2784</v>
      </c>
      <c r="G147" s="19">
        <v>6043</v>
      </c>
      <c r="H147" s="19">
        <f t="shared" si="71"/>
        <v>9612</v>
      </c>
      <c r="J147" s="25">
        <f t="shared" si="82"/>
        <v>9.2345078979343867E-2</v>
      </c>
      <c r="K147" s="25">
        <f t="shared" si="82"/>
        <v>0</v>
      </c>
      <c r="L147" s="25">
        <f t="shared" si="82"/>
        <v>0</v>
      </c>
      <c r="M147" s="25">
        <f t="shared" si="82"/>
        <v>0.15681306306306306</v>
      </c>
      <c r="N147" s="25">
        <f t="shared" si="82"/>
        <v>1.0815850815850816</v>
      </c>
      <c r="O147" s="25">
        <f t="shared" si="82"/>
        <v>12.061876247504991</v>
      </c>
      <c r="P147" s="33"/>
      <c r="Q147" s="30"/>
      <c r="R147" s="25">
        <f t="shared" si="37"/>
        <v>-0.48079788783255906</v>
      </c>
      <c r="S147" s="25">
        <f t="shared" si="38"/>
        <v>-0.77974327742494243</v>
      </c>
      <c r="T147" s="25"/>
      <c r="U147" s="25"/>
      <c r="V147" s="25">
        <f t="shared" si="83"/>
        <v>-1</v>
      </c>
      <c r="W147" s="25">
        <f t="shared" si="83"/>
        <v>-0.79992816091954022</v>
      </c>
      <c r="X147" s="25">
        <f t="shared" si="83"/>
        <v>-0.53930167135528706</v>
      </c>
    </row>
    <row r="148" spans="1:24" x14ac:dyDescent="0.25">
      <c r="A148" s="56" t="s">
        <v>169</v>
      </c>
      <c r="B148" s="19">
        <v>-228</v>
      </c>
      <c r="C148" s="19">
        <v>0</v>
      </c>
      <c r="D148" s="19">
        <v>0</v>
      </c>
      <c r="E148" s="19">
        <v>-557</v>
      </c>
      <c r="F148" s="19">
        <v>-3213</v>
      </c>
      <c r="G148" s="19">
        <v>-6249</v>
      </c>
      <c r="H148" s="19">
        <f t="shared" si="71"/>
        <v>-10247</v>
      </c>
      <c r="J148" s="25">
        <f t="shared" si="82"/>
        <v>-9.2345078979343867E-2</v>
      </c>
      <c r="K148" s="25">
        <f t="shared" si="82"/>
        <v>0</v>
      </c>
      <c r="L148" s="25">
        <f t="shared" si="82"/>
        <v>0</v>
      </c>
      <c r="M148" s="25">
        <f t="shared" si="82"/>
        <v>-0.15681306306306306</v>
      </c>
      <c r="N148" s="25">
        <f t="shared" si="82"/>
        <v>-1.2482517482517483</v>
      </c>
      <c r="O148" s="25">
        <f t="shared" si="82"/>
        <v>-12.473053892215569</v>
      </c>
      <c r="P148" s="33"/>
      <c r="Q148" s="30"/>
      <c r="R148" s="25">
        <f t="shared" si="37"/>
        <v>-0.48426706751700083</v>
      </c>
      <c r="S148" s="25">
        <f t="shared" si="38"/>
        <v>-0.77082650061856139</v>
      </c>
      <c r="T148" s="25"/>
      <c r="U148" s="25"/>
      <c r="V148" s="25">
        <f t="shared" si="83"/>
        <v>-1</v>
      </c>
      <c r="W148" s="25">
        <f t="shared" si="83"/>
        <v>-0.82664176781823839</v>
      </c>
      <c r="X148" s="25">
        <f t="shared" si="83"/>
        <v>-0.48583773403744601</v>
      </c>
    </row>
    <row r="149" spans="1:24" x14ac:dyDescent="0.25">
      <c r="A149" s="54" t="s">
        <v>306</v>
      </c>
      <c r="B149" s="57">
        <f>SUM(B142:B148)</f>
        <v>-1455</v>
      </c>
      <c r="C149" s="57">
        <f t="shared" ref="C149:G149" si="84">SUM(C142:C148)</f>
        <v>-7126</v>
      </c>
      <c r="D149" s="57">
        <f t="shared" si="84"/>
        <v>-1313</v>
      </c>
      <c r="E149" s="57">
        <f t="shared" si="84"/>
        <v>-1927</v>
      </c>
      <c r="F149" s="57">
        <f t="shared" si="84"/>
        <v>-152</v>
      </c>
      <c r="G149" s="57">
        <f t="shared" si="84"/>
        <v>-1351</v>
      </c>
      <c r="H149" s="57">
        <f t="shared" si="71"/>
        <v>-13324</v>
      </c>
      <c r="J149" s="25"/>
      <c r="K149" s="25"/>
      <c r="L149" s="25"/>
      <c r="M149" s="25"/>
      <c r="N149" s="25"/>
      <c r="O149" s="25"/>
      <c r="P149" s="33"/>
      <c r="Q149" s="30"/>
      <c r="R149" s="25"/>
      <c r="S149" s="25"/>
      <c r="T149" s="25"/>
      <c r="U149" s="25"/>
      <c r="V149" s="25"/>
      <c r="W149" s="25"/>
      <c r="X149" s="25"/>
    </row>
    <row r="150" spans="1:24" x14ac:dyDescent="0.25">
      <c r="A150" s="54" t="s">
        <v>307</v>
      </c>
      <c r="B150" s="19">
        <v>-1960</v>
      </c>
      <c r="C150" s="19">
        <v>-1959</v>
      </c>
      <c r="D150" s="19">
        <v>-1958</v>
      </c>
      <c r="E150" s="19">
        <v>-1953</v>
      </c>
      <c r="F150" s="19">
        <v>-3183</v>
      </c>
      <c r="G150" s="19">
        <v>-2888</v>
      </c>
      <c r="H150" s="19">
        <f t="shared" si="71"/>
        <v>-13901</v>
      </c>
      <c r="J150" s="25">
        <f t="shared" ref="J150:O156" si="85">+B150/B$121</f>
        <v>-0.79384366140137708</v>
      </c>
      <c r="K150" s="25">
        <f t="shared" si="85"/>
        <v>-0.36521252796420584</v>
      </c>
      <c r="L150" s="25">
        <f t="shared" si="85"/>
        <v>-0.39724081963887198</v>
      </c>
      <c r="M150" s="25">
        <f t="shared" si="85"/>
        <v>-0.54983108108108103</v>
      </c>
      <c r="N150" s="25">
        <f t="shared" si="85"/>
        <v>-1.2365967365967365</v>
      </c>
      <c r="O150" s="25">
        <f t="shared" si="85"/>
        <v>-5.764471057884232</v>
      </c>
      <c r="P150" s="33"/>
      <c r="Q150" s="30"/>
      <c r="R150" s="25">
        <f t="shared" si="37"/>
        <v>-7.4595138905815289E-2</v>
      </c>
      <c r="S150" s="25">
        <f t="shared" si="38"/>
        <v>-5.6139946040355194E-2</v>
      </c>
      <c r="T150" s="25">
        <f t="shared" ref="T150:X156" si="86">(+B150-C150)/C150</f>
        <v>5.1046452271567128E-4</v>
      </c>
      <c r="U150" s="25">
        <f t="shared" si="86"/>
        <v>5.1072522982635344E-4</v>
      </c>
      <c r="V150" s="25">
        <f t="shared" si="86"/>
        <v>2.5601638504864311E-3</v>
      </c>
      <c r="W150" s="25">
        <f t="shared" si="86"/>
        <v>-0.38642789820923656</v>
      </c>
      <c r="X150" s="25">
        <f t="shared" si="86"/>
        <v>0.10214681440443213</v>
      </c>
    </row>
    <row r="151" spans="1:24" x14ac:dyDescent="0.25">
      <c r="A151" s="54" t="s">
        <v>174</v>
      </c>
      <c r="B151" s="19">
        <v>-299</v>
      </c>
      <c r="C151" s="19">
        <v>-259</v>
      </c>
      <c r="D151" s="19">
        <v>-60</v>
      </c>
      <c r="E151" s="19">
        <v>-33</v>
      </c>
      <c r="F151" s="19">
        <v>-28</v>
      </c>
      <c r="G151" s="19">
        <v>18</v>
      </c>
      <c r="H151" s="19">
        <f t="shared" si="71"/>
        <v>-661</v>
      </c>
      <c r="J151" s="25">
        <f t="shared" si="85"/>
        <v>-0.12110166059133252</v>
      </c>
      <c r="K151" s="25">
        <f t="shared" si="85"/>
        <v>-4.8284862043251303E-2</v>
      </c>
      <c r="L151" s="25">
        <f t="shared" si="85"/>
        <v>-1.2172854534388313E-2</v>
      </c>
      <c r="M151" s="25">
        <f t="shared" si="85"/>
        <v>-9.2905405405405411E-3</v>
      </c>
      <c r="N151" s="25">
        <f t="shared" si="85"/>
        <v>-1.0878010878010878E-2</v>
      </c>
      <c r="O151" s="25">
        <f t="shared" si="85"/>
        <v>3.5928143712574849E-2</v>
      </c>
      <c r="P151" s="33"/>
      <c r="Q151" s="30"/>
      <c r="R151" s="25">
        <f>((B151/G151)^1/5)-1</f>
        <v>-4.322222222222222</v>
      </c>
      <c r="S151" s="25">
        <f t="shared" si="38"/>
        <v>0.38246090246090264</v>
      </c>
      <c r="T151" s="25">
        <f t="shared" si="86"/>
        <v>0.15444015444015444</v>
      </c>
      <c r="U151" s="25">
        <f t="shared" si="86"/>
        <v>3.3166666666666669</v>
      </c>
      <c r="V151" s="25">
        <f t="shared" si="86"/>
        <v>0.81818181818181823</v>
      </c>
      <c r="W151" s="25">
        <f t="shared" si="86"/>
        <v>0.17857142857142858</v>
      </c>
      <c r="X151" s="25">
        <f t="shared" si="86"/>
        <v>-2.5555555555555554</v>
      </c>
    </row>
    <row r="152" spans="1:24" x14ac:dyDescent="0.25">
      <c r="A152" s="19" t="s">
        <v>175</v>
      </c>
      <c r="B152" s="55">
        <f>SUM(B149:B151)</f>
        <v>-3714</v>
      </c>
      <c r="C152" s="55">
        <f t="shared" ref="C152:G152" si="87">SUM(C149:C151)</f>
        <v>-9344</v>
      </c>
      <c r="D152" s="55">
        <f t="shared" si="87"/>
        <v>-3331</v>
      </c>
      <c r="E152" s="55">
        <f t="shared" si="87"/>
        <v>-3913</v>
      </c>
      <c r="F152" s="55">
        <f t="shared" si="87"/>
        <v>-3363</v>
      </c>
      <c r="G152" s="55">
        <f t="shared" si="87"/>
        <v>-4221</v>
      </c>
      <c r="H152" s="55">
        <f t="shared" si="71"/>
        <v>-27886</v>
      </c>
      <c r="J152" s="29">
        <f t="shared" si="85"/>
        <v>-1.5042527339003646</v>
      </c>
      <c r="K152" s="29">
        <f t="shared" si="85"/>
        <v>-1.7419835943325876</v>
      </c>
      <c r="L152" s="29">
        <f t="shared" si="85"/>
        <v>-0.6757963075674579</v>
      </c>
      <c r="M152" s="29">
        <f t="shared" si="85"/>
        <v>-1.101632882882883</v>
      </c>
      <c r="N152" s="29">
        <f t="shared" si="85"/>
        <v>-1.3065268065268065</v>
      </c>
      <c r="O152" s="29">
        <f t="shared" si="85"/>
        <v>-8.4251497005988032</v>
      </c>
      <c r="P152" s="33"/>
      <c r="Q152" s="30"/>
      <c r="R152" s="29">
        <f t="shared" ref="R152:R156" si="88">RATE(5,0,-G152,B152)</f>
        <v>-2.5267808183075099E-2</v>
      </c>
      <c r="S152" s="29">
        <f t="shared" ref="S152:S156" si="89">AVERAGE(T152:X152)</f>
        <v>0.20283560611242665</v>
      </c>
      <c r="T152" s="29">
        <f t="shared" si="86"/>
        <v>-0.60252568493150682</v>
      </c>
      <c r="U152" s="29">
        <f t="shared" si="86"/>
        <v>1.805163614530171</v>
      </c>
      <c r="V152" s="29">
        <f t="shared" si="86"/>
        <v>-0.14873498594428827</v>
      </c>
      <c r="W152" s="29">
        <f t="shared" si="86"/>
        <v>0.16354445435622955</v>
      </c>
      <c r="X152" s="29">
        <f t="shared" si="86"/>
        <v>-0.20326936744847193</v>
      </c>
    </row>
    <row r="153" spans="1:24" x14ac:dyDescent="0.25">
      <c r="A153" s="19" t="s">
        <v>176</v>
      </c>
      <c r="B153" s="19">
        <v>-69</v>
      </c>
      <c r="C153" s="19">
        <v>-30</v>
      </c>
      <c r="D153" s="19">
        <v>62</v>
      </c>
      <c r="E153" s="19">
        <v>-6</v>
      </c>
      <c r="F153" s="19">
        <v>-132</v>
      </c>
      <c r="G153" s="19">
        <v>57</v>
      </c>
      <c r="H153" s="19">
        <f t="shared" si="71"/>
        <v>-118</v>
      </c>
      <c r="J153" s="29">
        <f t="shared" si="85"/>
        <v>-2.7946537059538274E-2</v>
      </c>
      <c r="K153" s="29">
        <f t="shared" si="85"/>
        <v>-5.5928411633109623E-3</v>
      </c>
      <c r="L153" s="29">
        <f t="shared" si="85"/>
        <v>1.2578616352201259E-2</v>
      </c>
      <c r="M153" s="29">
        <f t="shared" si="85"/>
        <v>-1.6891891891891893E-3</v>
      </c>
      <c r="N153" s="29">
        <f t="shared" si="85"/>
        <v>-5.128205128205128E-2</v>
      </c>
      <c r="O153" s="29">
        <f t="shared" si="85"/>
        <v>0.11377245508982035</v>
      </c>
      <c r="P153" s="33"/>
      <c r="Q153" s="30"/>
      <c r="R153" s="29">
        <f>((B153/G153)^1/5)-1</f>
        <v>-1.2421052631578948</v>
      </c>
      <c r="S153" s="29">
        <f t="shared" si="89"/>
        <v>-3.1575078458609869</v>
      </c>
      <c r="T153" s="29">
        <f t="shared" si="86"/>
        <v>1.3</v>
      </c>
      <c r="U153" s="29">
        <f t="shared" si="86"/>
        <v>-1.4838709677419355</v>
      </c>
      <c r="V153" s="29">
        <f t="shared" si="86"/>
        <v>-11.333333333333334</v>
      </c>
      <c r="W153" s="29">
        <f t="shared" si="86"/>
        <v>-0.95454545454545459</v>
      </c>
      <c r="X153" s="29">
        <f t="shared" si="86"/>
        <v>-3.3157894736842106</v>
      </c>
    </row>
    <row r="154" spans="1:24" x14ac:dyDescent="0.25">
      <c r="A154" s="19" t="s">
        <v>322</v>
      </c>
      <c r="B154" s="57">
        <f t="shared" ref="B154:G154" si="90">+B153+B152+B140+B121</f>
        <v>-2405</v>
      </c>
      <c r="C154" s="57">
        <f t="shared" si="90"/>
        <v>28</v>
      </c>
      <c r="D154" s="57">
        <f t="shared" si="90"/>
        <v>1138</v>
      </c>
      <c r="E154" s="57">
        <f t="shared" si="90"/>
        <v>1144</v>
      </c>
      <c r="F154" s="57">
        <f t="shared" si="90"/>
        <v>-633</v>
      </c>
      <c r="G154" s="57">
        <f t="shared" si="90"/>
        <v>-2486</v>
      </c>
      <c r="H154" s="57">
        <f t="shared" si="71"/>
        <v>-3214</v>
      </c>
      <c r="J154" s="25">
        <f t="shared" si="85"/>
        <v>-0.97407857432158773</v>
      </c>
      <c r="K154" s="25">
        <f t="shared" si="85"/>
        <v>5.219985085756898E-3</v>
      </c>
      <c r="L154" s="25">
        <f t="shared" si="85"/>
        <v>0.23087847433556502</v>
      </c>
      <c r="M154" s="25">
        <f t="shared" si="85"/>
        <v>0.32207207207207206</v>
      </c>
      <c r="N154" s="25">
        <f t="shared" si="85"/>
        <v>-0.24592074592074592</v>
      </c>
      <c r="O154" s="25">
        <f t="shared" si="85"/>
        <v>-4.9620758483033933</v>
      </c>
      <c r="P154" s="33"/>
      <c r="Q154" s="30"/>
      <c r="R154" s="25">
        <f t="shared" si="88"/>
        <v>-6.6031208578273834E-3</v>
      </c>
      <c r="S154" s="25">
        <f t="shared" si="89"/>
        <v>-18.285227681247186</v>
      </c>
      <c r="T154" s="25">
        <f t="shared" si="86"/>
        <v>-86.892857142857139</v>
      </c>
      <c r="U154" s="25">
        <f t="shared" si="86"/>
        <v>-0.97539543057996481</v>
      </c>
      <c r="V154" s="25">
        <f t="shared" si="86"/>
        <v>-5.244755244755245E-3</v>
      </c>
      <c r="W154" s="25">
        <f t="shared" si="86"/>
        <v>-2.807266982622433</v>
      </c>
      <c r="X154" s="25">
        <f t="shared" si="86"/>
        <v>-0.7453740949316171</v>
      </c>
    </row>
    <row r="155" spans="1:24" x14ac:dyDescent="0.25">
      <c r="A155" s="2" t="s">
        <v>178</v>
      </c>
      <c r="B155" s="2">
        <f>+C156</f>
        <v>3446</v>
      </c>
      <c r="C155" s="2">
        <f t="shared" ref="C155:E155" si="91">+D156</f>
        <v>3418</v>
      </c>
      <c r="D155" s="2">
        <v>2280</v>
      </c>
      <c r="E155" s="2">
        <f t="shared" si="91"/>
        <v>1136</v>
      </c>
      <c r="F155" s="2">
        <v>1769</v>
      </c>
      <c r="G155" s="2">
        <v>4255</v>
      </c>
      <c r="H155" s="2">
        <f>+G155</f>
        <v>4255</v>
      </c>
      <c r="J155" s="25">
        <f t="shared" si="85"/>
        <v>1.3957067638720129</v>
      </c>
      <c r="K155" s="25">
        <f t="shared" si="85"/>
        <v>0.63721103653989564</v>
      </c>
      <c r="L155" s="25">
        <f t="shared" si="85"/>
        <v>0.46256847230675591</v>
      </c>
      <c r="M155" s="25">
        <f t="shared" si="85"/>
        <v>0.31981981981981983</v>
      </c>
      <c r="N155" s="25">
        <f t="shared" si="85"/>
        <v>0.68725718725718721</v>
      </c>
      <c r="O155" s="25">
        <f t="shared" si="85"/>
        <v>8.4930139720558877</v>
      </c>
      <c r="P155" s="33"/>
      <c r="Q155" s="30"/>
      <c r="R155" s="25">
        <f t="shared" si="88"/>
        <v>-4.1299085289094761E-2</v>
      </c>
      <c r="S155" s="25">
        <f t="shared" si="89"/>
        <v>0.11445477690487413</v>
      </c>
      <c r="T155" s="25">
        <f t="shared" si="86"/>
        <v>8.1919251023990641E-3</v>
      </c>
      <c r="U155" s="25">
        <f t="shared" si="86"/>
        <v>0.49912280701754386</v>
      </c>
      <c r="V155" s="25">
        <f t="shared" si="86"/>
        <v>1.0070422535211268</v>
      </c>
      <c r="W155" s="25">
        <f t="shared" si="86"/>
        <v>-0.35782928208027132</v>
      </c>
      <c r="X155" s="25">
        <f t="shared" si="86"/>
        <v>-0.5842538190364277</v>
      </c>
    </row>
    <row r="156" spans="1:24" ht="15.75" thickBot="1" x14ac:dyDescent="0.3">
      <c r="A156" s="2" t="s">
        <v>179</v>
      </c>
      <c r="B156" s="9">
        <f>+B155+B154</f>
        <v>1041</v>
      </c>
      <c r="C156" s="9">
        <f t="shared" ref="C156:G156" si="92">+C155+C154</f>
        <v>3446</v>
      </c>
      <c r="D156" s="9">
        <f t="shared" si="92"/>
        <v>3418</v>
      </c>
      <c r="E156" s="9">
        <f t="shared" si="92"/>
        <v>2280</v>
      </c>
      <c r="F156" s="9">
        <f t="shared" si="92"/>
        <v>1136</v>
      </c>
      <c r="G156" s="9">
        <f t="shared" si="92"/>
        <v>1769</v>
      </c>
      <c r="H156" s="9">
        <f>+H155+H154</f>
        <v>1041</v>
      </c>
      <c r="J156" s="28">
        <f t="shared" si="85"/>
        <v>0.42162818955042525</v>
      </c>
      <c r="K156" s="28">
        <f t="shared" si="85"/>
        <v>0.64243102162565247</v>
      </c>
      <c r="L156" s="28">
        <f t="shared" si="85"/>
        <v>0.69344694664232098</v>
      </c>
      <c r="M156" s="28">
        <f t="shared" si="85"/>
        <v>0.64189189189189189</v>
      </c>
      <c r="N156" s="28">
        <f t="shared" si="85"/>
        <v>0.44133644133644134</v>
      </c>
      <c r="O156" s="28">
        <f t="shared" si="85"/>
        <v>3.5309381237524948</v>
      </c>
      <c r="P156" s="33"/>
      <c r="Q156" s="30"/>
      <c r="R156" s="28">
        <f t="shared" si="88"/>
        <v>-0.10061719678040582</v>
      </c>
      <c r="S156" s="28">
        <f t="shared" si="89"/>
        <v>9.1723416510186367E-2</v>
      </c>
      <c r="T156" s="28">
        <f t="shared" si="86"/>
        <v>-0.69791062100986656</v>
      </c>
      <c r="U156" s="28">
        <f t="shared" si="86"/>
        <v>8.1919251023990641E-3</v>
      </c>
      <c r="V156" s="28">
        <f t="shared" si="86"/>
        <v>0.49912280701754386</v>
      </c>
      <c r="W156" s="28">
        <f t="shared" si="86"/>
        <v>1.0070422535211268</v>
      </c>
      <c r="X156" s="28">
        <f t="shared" si="86"/>
        <v>-0.35782928208027132</v>
      </c>
    </row>
    <row r="157" spans="1:24" ht="15.75" thickTop="1" x14ac:dyDescent="0.25">
      <c r="A157" s="3" t="s">
        <v>308</v>
      </c>
      <c r="B157" s="2">
        <f t="shared" ref="B157:G157" si="93">+B156-B6</f>
        <v>1</v>
      </c>
      <c r="C157" s="2">
        <f t="shared" si="93"/>
        <v>1</v>
      </c>
      <c r="D157" s="2">
        <f t="shared" si="93"/>
        <v>1</v>
      </c>
      <c r="E157" s="2">
        <f t="shared" si="93"/>
        <v>1</v>
      </c>
      <c r="F157" s="2">
        <f t="shared" si="93"/>
        <v>6</v>
      </c>
      <c r="G157" s="2">
        <f t="shared" si="93"/>
        <v>140</v>
      </c>
      <c r="P157" s="30"/>
    </row>
    <row r="159" spans="1:24" hidden="1" x14ac:dyDescent="0.25">
      <c r="A159" s="2" t="s">
        <v>181</v>
      </c>
      <c r="B159" s="8">
        <v>937</v>
      </c>
      <c r="C159" s="8">
        <v>1196</v>
      </c>
      <c r="D159" s="8">
        <v>1286</v>
      </c>
      <c r="E159" s="8">
        <v>1306</v>
      </c>
      <c r="F159" s="8">
        <v>1322</v>
      </c>
      <c r="G159" s="8">
        <v>1269</v>
      </c>
      <c r="H159" s="8"/>
    </row>
    <row r="160" spans="1:24" hidden="1" x14ac:dyDescent="0.25">
      <c r="A160" s="2" t="s">
        <v>182</v>
      </c>
      <c r="B160" s="2">
        <v>1260</v>
      </c>
      <c r="C160" s="2">
        <v>1295</v>
      </c>
      <c r="D160" s="2">
        <v>1027</v>
      </c>
      <c r="E160" s="2">
        <v>974</v>
      </c>
      <c r="F160" s="2">
        <v>543</v>
      </c>
      <c r="G160" s="2">
        <v>1206</v>
      </c>
    </row>
    <row r="161" spans="1:8" hidden="1" x14ac:dyDescent="0.25">
      <c r="A161" s="2" t="s">
        <v>183</v>
      </c>
      <c r="B161" s="8">
        <v>173</v>
      </c>
      <c r="C161" s="8">
        <v>176</v>
      </c>
      <c r="D161" s="8">
        <v>173</v>
      </c>
      <c r="E161" s="8">
        <v>191</v>
      </c>
      <c r="F161" s="8">
        <v>200</v>
      </c>
      <c r="G161" s="8">
        <v>244</v>
      </c>
      <c r="H161" s="8"/>
    </row>
    <row r="162" spans="1:8" s="19" customFormat="1" x14ac:dyDescent="0.25">
      <c r="A162" s="66" t="str">
        <f>A1</f>
        <v>Kraft Heinz Company</v>
      </c>
      <c r="B162" s="66" t="str">
        <f>B1</f>
        <v>Reclassified</v>
      </c>
      <c r="C162" s="66"/>
      <c r="D162" s="66"/>
      <c r="E162" s="66"/>
      <c r="F162" s="66"/>
      <c r="G162" s="66"/>
      <c r="H162" s="66"/>
    </row>
    <row r="163" spans="1:8" s="19" customFormat="1" x14ac:dyDescent="0.25">
      <c r="A163" s="66" t="s">
        <v>521</v>
      </c>
      <c r="B163" s="66"/>
      <c r="C163" s="66"/>
      <c r="D163" s="66"/>
      <c r="E163" s="66"/>
      <c r="F163" s="66"/>
      <c r="G163" s="66"/>
      <c r="H163" s="66"/>
    </row>
    <row r="164" spans="1:8" s="19" customFormat="1" x14ac:dyDescent="0.25">
      <c r="A164" s="66" t="str">
        <f>A3</f>
        <v>in millions except per share data</v>
      </c>
      <c r="B164" s="66"/>
      <c r="C164" s="66"/>
      <c r="D164" s="66"/>
      <c r="E164" s="66"/>
      <c r="F164" s="66"/>
      <c r="G164" s="66"/>
      <c r="H164" s="66"/>
    </row>
    <row r="165" spans="1:8" s="19" customFormat="1" ht="15.75" thickBot="1" x14ac:dyDescent="0.3">
      <c r="A165" s="67" t="str">
        <f>A4</f>
        <v>Fiscal year ended 12/31:</v>
      </c>
      <c r="B165" s="69">
        <v>2022</v>
      </c>
      <c r="C165" s="69">
        <v>2021</v>
      </c>
      <c r="D165" s="69">
        <v>2020</v>
      </c>
      <c r="E165" s="69">
        <v>2019</v>
      </c>
      <c r="F165" s="69">
        <v>2018</v>
      </c>
      <c r="G165" s="69">
        <v>2017</v>
      </c>
      <c r="H165" s="69" t="s">
        <v>275</v>
      </c>
    </row>
    <row r="166" spans="1:8" x14ac:dyDescent="0.25">
      <c r="A166" s="2" t="s">
        <v>323</v>
      </c>
      <c r="B166" s="8">
        <f>B60</f>
        <v>26485</v>
      </c>
      <c r="C166" s="8">
        <f t="shared" ref="C166:G166" si="94">C60</f>
        <v>26042</v>
      </c>
      <c r="D166" s="8">
        <f t="shared" si="94"/>
        <v>26185</v>
      </c>
      <c r="E166" s="8">
        <f t="shared" si="94"/>
        <v>24977</v>
      </c>
      <c r="F166" s="8">
        <f t="shared" si="94"/>
        <v>26268</v>
      </c>
      <c r="G166" s="8">
        <f t="shared" si="94"/>
        <v>26076</v>
      </c>
      <c r="H166" s="8">
        <f>SUM(B166:G166)</f>
        <v>156033</v>
      </c>
    </row>
    <row r="167" spans="1:8" x14ac:dyDescent="0.25">
      <c r="A167" s="5" t="s">
        <v>324</v>
      </c>
      <c r="B167" s="26">
        <f>B168/B166</f>
        <v>0.14921653766282802</v>
      </c>
      <c r="C167" s="26">
        <f t="shared" ref="C167:H167" si="95">C168/C166</f>
        <v>0.19038476307503263</v>
      </c>
      <c r="D167" s="26">
        <f t="shared" si="95"/>
        <v>0.17074661065495514</v>
      </c>
      <c r="E167" s="26">
        <f t="shared" si="95"/>
        <v>0.15153941626296191</v>
      </c>
      <c r="F167" s="26">
        <f t="shared" si="95"/>
        <v>0.17652657225521548</v>
      </c>
      <c r="G167" s="26">
        <f t="shared" si="95"/>
        <v>0.14822058597944471</v>
      </c>
      <c r="H167" s="26">
        <f t="shared" si="95"/>
        <v>0.16450366268673935</v>
      </c>
    </row>
    <row r="168" spans="1:8" x14ac:dyDescent="0.25">
      <c r="A168" s="2" t="s">
        <v>325</v>
      </c>
      <c r="B168" s="2">
        <f>B114</f>
        <v>3952</v>
      </c>
      <c r="C168" s="2">
        <f t="shared" ref="C168:G168" si="96">C114</f>
        <v>4958</v>
      </c>
      <c r="D168" s="2">
        <f t="shared" si="96"/>
        <v>4471</v>
      </c>
      <c r="E168" s="2">
        <f t="shared" si="96"/>
        <v>3785</v>
      </c>
      <c r="F168" s="2">
        <f t="shared" si="96"/>
        <v>4637</v>
      </c>
      <c r="G168" s="2">
        <f t="shared" si="96"/>
        <v>3865</v>
      </c>
      <c r="H168" s="2">
        <f t="shared" ref="H168:H172" si="97">SUM(B168:G168)</f>
        <v>25668</v>
      </c>
    </row>
    <row r="169" spans="1:8" x14ac:dyDescent="0.25">
      <c r="A169" s="5" t="s">
        <v>326</v>
      </c>
      <c r="B169" s="27">
        <f>B170-B168</f>
        <v>-1483</v>
      </c>
      <c r="C169" s="27">
        <f t="shared" ref="C169:G169" si="98">C170-C168</f>
        <v>406</v>
      </c>
      <c r="D169" s="27">
        <f t="shared" si="98"/>
        <v>458</v>
      </c>
      <c r="E169" s="27">
        <f t="shared" si="98"/>
        <v>-233</v>
      </c>
      <c r="F169" s="27">
        <f t="shared" si="98"/>
        <v>-2063</v>
      </c>
      <c r="G169" s="27">
        <f t="shared" si="98"/>
        <v>-3364</v>
      </c>
      <c r="H169" s="27">
        <f t="shared" si="97"/>
        <v>-6279</v>
      </c>
    </row>
    <row r="170" spans="1:8" x14ac:dyDescent="0.25">
      <c r="A170" s="2" t="s">
        <v>327</v>
      </c>
      <c r="B170" s="2">
        <f>B121</f>
        <v>2469</v>
      </c>
      <c r="C170" s="2">
        <f t="shared" ref="C170:G170" si="99">C121</f>
        <v>5364</v>
      </c>
      <c r="D170" s="2">
        <f t="shared" si="99"/>
        <v>4929</v>
      </c>
      <c r="E170" s="2">
        <f t="shared" si="99"/>
        <v>3552</v>
      </c>
      <c r="F170" s="2">
        <f t="shared" si="99"/>
        <v>2574</v>
      </c>
      <c r="G170" s="2">
        <f t="shared" si="99"/>
        <v>501</v>
      </c>
      <c r="H170" s="2">
        <f t="shared" si="97"/>
        <v>19389</v>
      </c>
    </row>
    <row r="171" spans="1:8" x14ac:dyDescent="0.25">
      <c r="A171" s="5" t="s">
        <v>328</v>
      </c>
      <c r="B171" s="27">
        <f>B134</f>
        <v>-916</v>
      </c>
      <c r="C171" s="27">
        <f t="shared" ref="C171:G171" si="100">C134</f>
        <v>-905</v>
      </c>
      <c r="D171" s="27">
        <f t="shared" si="100"/>
        <v>-596</v>
      </c>
      <c r="E171" s="27">
        <f t="shared" si="100"/>
        <v>-768</v>
      </c>
      <c r="F171" s="27">
        <f t="shared" si="100"/>
        <v>-826</v>
      </c>
      <c r="G171" s="27">
        <f t="shared" si="100"/>
        <v>-1194</v>
      </c>
      <c r="H171" s="27">
        <f t="shared" si="97"/>
        <v>-5205</v>
      </c>
    </row>
    <row r="172" spans="1:8" x14ac:dyDescent="0.25">
      <c r="A172" s="2" t="s">
        <v>329</v>
      </c>
      <c r="B172" s="2">
        <f>B170+B171</f>
        <v>1553</v>
      </c>
      <c r="C172" s="2">
        <f t="shared" ref="C172:G172" si="101">C170+C171</f>
        <v>4459</v>
      </c>
      <c r="D172" s="2">
        <f t="shared" si="101"/>
        <v>4333</v>
      </c>
      <c r="E172" s="2">
        <f t="shared" si="101"/>
        <v>2784</v>
      </c>
      <c r="F172" s="2">
        <f t="shared" si="101"/>
        <v>1748</v>
      </c>
      <c r="G172" s="2">
        <f t="shared" si="101"/>
        <v>-693</v>
      </c>
      <c r="H172" s="2">
        <f t="shared" si="97"/>
        <v>14184</v>
      </c>
    </row>
    <row r="173" spans="1:8" x14ac:dyDescent="0.25">
      <c r="A173" s="5" t="s">
        <v>330</v>
      </c>
      <c r="B173" s="2">
        <v>0</v>
      </c>
      <c r="C173" s="2">
        <v>0</v>
      </c>
      <c r="D173" s="2">
        <v>0</v>
      </c>
      <c r="E173" s="2">
        <v>0</v>
      </c>
      <c r="F173" s="2">
        <v>1296</v>
      </c>
      <c r="G173" s="2">
        <v>2286</v>
      </c>
      <c r="H173" s="2">
        <f t="shared" ref="H173:H180" si="102">SUM(B173:G173)</f>
        <v>3582</v>
      </c>
    </row>
    <row r="174" spans="1:8" x14ac:dyDescent="0.25">
      <c r="A174" s="5" t="s">
        <v>331</v>
      </c>
      <c r="B174" s="2">
        <v>-481</v>
      </c>
      <c r="C174" s="2">
        <v>-74</v>
      </c>
      <c r="D174" s="2">
        <v>0</v>
      </c>
      <c r="E174" s="2">
        <v>-199</v>
      </c>
      <c r="F174" s="2">
        <v>-248</v>
      </c>
      <c r="G174" s="2">
        <v>0</v>
      </c>
      <c r="H174" s="2">
        <f t="shared" si="102"/>
        <v>-1002</v>
      </c>
    </row>
    <row r="175" spans="1:8" x14ac:dyDescent="0.25">
      <c r="A175" s="5" t="s">
        <v>158</v>
      </c>
      <c r="B175" s="2">
        <f>B137</f>
        <v>208</v>
      </c>
      <c r="C175" s="2">
        <f t="shared" ref="C175:G175" si="103">C137</f>
        <v>-28</v>
      </c>
      <c r="D175" s="2">
        <f t="shared" si="103"/>
        <v>25</v>
      </c>
      <c r="E175" s="2">
        <f t="shared" si="103"/>
        <v>590</v>
      </c>
      <c r="F175" s="2">
        <f t="shared" si="103"/>
        <v>24</v>
      </c>
      <c r="G175" s="2">
        <f t="shared" si="103"/>
        <v>0</v>
      </c>
      <c r="H175" s="2">
        <f t="shared" si="102"/>
        <v>819</v>
      </c>
    </row>
    <row r="176" spans="1:8" x14ac:dyDescent="0.25">
      <c r="A176" s="5" t="s">
        <v>159</v>
      </c>
      <c r="B176" s="5">
        <f t="shared" ref="B176:G176" si="104">B138</f>
        <v>88</v>
      </c>
      <c r="C176" s="5">
        <f t="shared" si="104"/>
        <v>5014</v>
      </c>
      <c r="D176" s="5">
        <f t="shared" si="104"/>
        <v>0</v>
      </c>
      <c r="E176" s="5">
        <f t="shared" si="104"/>
        <v>1875</v>
      </c>
      <c r="F176" s="5">
        <f t="shared" si="104"/>
        <v>18</v>
      </c>
      <c r="G176" s="5">
        <f t="shared" si="104"/>
        <v>0</v>
      </c>
      <c r="H176" s="5">
        <f t="shared" si="102"/>
        <v>6995</v>
      </c>
    </row>
    <row r="177" spans="1:8" x14ac:dyDescent="0.25">
      <c r="A177" s="5" t="s">
        <v>332</v>
      </c>
      <c r="B177" s="30">
        <f t="shared" ref="B177:G177" si="105">B149</f>
        <v>-1455</v>
      </c>
      <c r="C177" s="30">
        <f t="shared" si="105"/>
        <v>-7126</v>
      </c>
      <c r="D177" s="30">
        <f t="shared" si="105"/>
        <v>-1313</v>
      </c>
      <c r="E177" s="30">
        <f t="shared" si="105"/>
        <v>-1927</v>
      </c>
      <c r="F177" s="30">
        <f t="shared" si="105"/>
        <v>-152</v>
      </c>
      <c r="G177" s="30">
        <f t="shared" si="105"/>
        <v>-1351</v>
      </c>
      <c r="H177" s="2">
        <f t="shared" si="102"/>
        <v>-13324</v>
      </c>
    </row>
    <row r="178" spans="1:8" x14ac:dyDescent="0.25">
      <c r="A178" s="2" t="s">
        <v>307</v>
      </c>
      <c r="B178" s="2">
        <f>B150</f>
        <v>-1960</v>
      </c>
      <c r="C178" s="2">
        <f t="shared" ref="C178:G178" si="106">C150</f>
        <v>-1959</v>
      </c>
      <c r="D178" s="2">
        <f t="shared" si="106"/>
        <v>-1958</v>
      </c>
      <c r="E178" s="2">
        <f t="shared" si="106"/>
        <v>-1953</v>
      </c>
      <c r="F178" s="2">
        <f t="shared" si="106"/>
        <v>-3183</v>
      </c>
      <c r="G178" s="2">
        <f t="shared" si="106"/>
        <v>-2888</v>
      </c>
      <c r="H178" s="2">
        <f t="shared" si="102"/>
        <v>-13901</v>
      </c>
    </row>
    <row r="179" spans="1:8" x14ac:dyDescent="0.25">
      <c r="A179" s="5" t="s">
        <v>333</v>
      </c>
      <c r="B179" s="2">
        <f>B180-SUM(B172:B178)</f>
        <v>-358</v>
      </c>
      <c r="C179" s="2">
        <f t="shared" ref="C179:G179" si="107">C180-SUM(C172:C178)</f>
        <v>-258</v>
      </c>
      <c r="D179" s="2">
        <f t="shared" si="107"/>
        <v>51</v>
      </c>
      <c r="E179" s="2">
        <f t="shared" si="107"/>
        <v>-26</v>
      </c>
      <c r="F179" s="2">
        <f t="shared" si="107"/>
        <v>-136</v>
      </c>
      <c r="G179" s="2">
        <f t="shared" si="107"/>
        <v>160</v>
      </c>
      <c r="H179" s="2">
        <f t="shared" si="102"/>
        <v>-567</v>
      </c>
    </row>
    <row r="180" spans="1:8" ht="15.75" thickBot="1" x14ac:dyDescent="0.3">
      <c r="A180" s="2" t="s">
        <v>334</v>
      </c>
      <c r="B180" s="9" cm="1">
        <f t="array" ref="B180:G180">B154:G154</f>
        <v>-2405</v>
      </c>
      <c r="C180" s="9">
        <v>28</v>
      </c>
      <c r="D180" s="9">
        <v>1138</v>
      </c>
      <c r="E180" s="9">
        <v>1144</v>
      </c>
      <c r="F180" s="9">
        <v>-633</v>
      </c>
      <c r="G180" s="9">
        <v>-2486</v>
      </c>
      <c r="H180" s="11">
        <f t="shared" si="102"/>
        <v>-3214</v>
      </c>
    </row>
    <row r="181" spans="1:8" ht="15.75" thickTop="1" x14ac:dyDescent="0.25"/>
    <row r="184" spans="1:8" x14ac:dyDescent="0.25">
      <c r="A184" s="2" t="s">
        <v>325</v>
      </c>
      <c r="B184" s="8">
        <f>B114</f>
        <v>3952</v>
      </c>
      <c r="C184" s="8">
        <f t="shared" ref="C184:G184" si="108">C114</f>
        <v>4958</v>
      </c>
      <c r="D184" s="8">
        <f t="shared" si="108"/>
        <v>4471</v>
      </c>
      <c r="E184" s="8">
        <f t="shared" si="108"/>
        <v>3785</v>
      </c>
      <c r="F184" s="8">
        <f t="shared" si="108"/>
        <v>4637</v>
      </c>
      <c r="G184" s="8">
        <f t="shared" si="108"/>
        <v>3865</v>
      </c>
      <c r="H184" s="8"/>
    </row>
    <row r="185" spans="1:8" x14ac:dyDescent="0.25">
      <c r="A185" s="2" t="s">
        <v>329</v>
      </c>
      <c r="B185" s="2">
        <f>B172</f>
        <v>1553</v>
      </c>
      <c r="C185" s="2">
        <f t="shared" ref="C185:G185" si="109">C172</f>
        <v>4459</v>
      </c>
      <c r="D185" s="2">
        <f t="shared" si="109"/>
        <v>4333</v>
      </c>
      <c r="E185" s="2">
        <f t="shared" si="109"/>
        <v>2784</v>
      </c>
      <c r="F185" s="2">
        <f t="shared" si="109"/>
        <v>1748</v>
      </c>
      <c r="G185" s="2">
        <f t="shared" si="109"/>
        <v>-693</v>
      </c>
    </row>
    <row r="186" spans="1:8" x14ac:dyDescent="0.25">
      <c r="A186" s="2" t="s">
        <v>335</v>
      </c>
      <c r="B186" s="2">
        <f>B185+(B70*0.75)</f>
        <v>2243.75</v>
      </c>
      <c r="C186" s="2">
        <f t="shared" ref="C186:G186" si="110">C185+(C70*0.75)</f>
        <v>5994.25</v>
      </c>
      <c r="D186" s="2">
        <f t="shared" si="110"/>
        <v>5378.5</v>
      </c>
      <c r="E186" s="2">
        <f t="shared" si="110"/>
        <v>3804.75</v>
      </c>
      <c r="F186" s="2">
        <f t="shared" si="110"/>
        <v>2711</v>
      </c>
      <c r="G186" s="2">
        <f t="shared" si="110"/>
        <v>232.5</v>
      </c>
    </row>
    <row r="187" spans="1:8" x14ac:dyDescent="0.25">
      <c r="A187" s="2" t="s">
        <v>336</v>
      </c>
      <c r="B187" s="8">
        <f>B185+B177</f>
        <v>98</v>
      </c>
      <c r="C187" s="8">
        <f t="shared" ref="C187:G187" si="111">C185+C177</f>
        <v>-2667</v>
      </c>
      <c r="D187" s="8">
        <f t="shared" si="111"/>
        <v>3020</v>
      </c>
      <c r="E187" s="8">
        <f t="shared" si="111"/>
        <v>857</v>
      </c>
      <c r="F187" s="8">
        <f t="shared" si="111"/>
        <v>1596</v>
      </c>
      <c r="G187" s="8">
        <f t="shared" si="111"/>
        <v>-2044</v>
      </c>
      <c r="H187" s="8"/>
    </row>
    <row r="189" spans="1:8" x14ac:dyDescent="0.25">
      <c r="A189" s="2" t="s">
        <v>337</v>
      </c>
      <c r="B189" s="1">
        <f>-B171/B102</f>
        <v>0.98177920685959275</v>
      </c>
      <c r="C189" s="1">
        <f t="shared" ref="C189:F189" si="112">-C171/C102</f>
        <v>0.99450549450549453</v>
      </c>
      <c r="D189" s="1">
        <f t="shared" si="112"/>
        <v>0.61506707946336425</v>
      </c>
      <c r="E189" s="1">
        <f t="shared" si="112"/>
        <v>0.77263581488933597</v>
      </c>
      <c r="F189" s="1">
        <f t="shared" si="112"/>
        <v>0.84028484231943035</v>
      </c>
      <c r="G189" s="1">
        <f>-G171/G102</f>
        <v>1.1580989330746847</v>
      </c>
      <c r="H189" s="1"/>
    </row>
    <row r="190" spans="1:8" x14ac:dyDescent="0.25">
      <c r="A190" s="2" t="s">
        <v>338</v>
      </c>
      <c r="B190" s="1">
        <f>B14/B102</f>
        <v>10.279742765273312</v>
      </c>
      <c r="C190" s="1">
        <f t="shared" ref="C190:G190" si="113">C14/C102</f>
        <v>10.401098901098901</v>
      </c>
      <c r="D190" s="1">
        <f t="shared" si="113"/>
        <v>9.7296181630546954</v>
      </c>
      <c r="E190" s="1">
        <f t="shared" si="113"/>
        <v>9.0533199195171026</v>
      </c>
      <c r="F190" s="1">
        <f t="shared" si="113"/>
        <v>8.4221770091556465</v>
      </c>
      <c r="G190" s="1">
        <f t="shared" si="113"/>
        <v>7.3278370514064015</v>
      </c>
      <c r="H190" s="1"/>
    </row>
    <row r="191" spans="1:8" x14ac:dyDescent="0.25">
      <c r="A191" s="2" t="s">
        <v>339</v>
      </c>
      <c r="B191" s="1">
        <f>-B16/B102</f>
        <v>4.514469453376206</v>
      </c>
      <c r="C191" s="1">
        <f t="shared" ref="C191:G191" si="114">-C16/C102</f>
        <v>4.2505494505494505</v>
      </c>
      <c r="D191" s="1">
        <f t="shared" si="114"/>
        <v>3.6769865841073273</v>
      </c>
      <c r="E191" s="1">
        <f t="shared" si="114"/>
        <v>3.2062374245472838</v>
      </c>
      <c r="F191" s="1">
        <f t="shared" si="114"/>
        <v>2.6286876907426246</v>
      </c>
      <c r="G191" s="1">
        <f t="shared" si="114"/>
        <v>2.0261881668283221</v>
      </c>
      <c r="H191" s="1"/>
    </row>
    <row r="192" spans="1:8" x14ac:dyDescent="0.25">
      <c r="A192" s="2" t="s">
        <v>340</v>
      </c>
      <c r="B192" s="1">
        <f>B190-B191</f>
        <v>5.765273311897106</v>
      </c>
      <c r="C192" s="1">
        <f t="shared" ref="C192:G192" si="115">C190-C191</f>
        <v>6.1505494505494509</v>
      </c>
      <c r="D192" s="1">
        <f t="shared" si="115"/>
        <v>6.0526315789473681</v>
      </c>
      <c r="E192" s="1">
        <f t="shared" si="115"/>
        <v>5.8470824949698184</v>
      </c>
      <c r="F192" s="1">
        <f t="shared" si="115"/>
        <v>5.7934893184130214</v>
      </c>
      <c r="G192" s="1">
        <f t="shared" si="115"/>
        <v>5.3016488845780794</v>
      </c>
      <c r="H192" s="1"/>
    </row>
    <row r="193" spans="1:8" x14ac:dyDescent="0.25">
      <c r="A193" s="2" t="s">
        <v>341</v>
      </c>
      <c r="B193" s="25">
        <f>B191/B190</f>
        <v>0.4391617141069753</v>
      </c>
      <c r="C193" s="25">
        <f t="shared" ref="C193:G193" si="116">C191/C190</f>
        <v>0.4086634970945589</v>
      </c>
      <c r="D193" s="25">
        <f t="shared" si="116"/>
        <v>0.37791684344505727</v>
      </c>
      <c r="E193" s="25">
        <f t="shared" si="116"/>
        <v>0.35415046116235138</v>
      </c>
      <c r="F193" s="25">
        <f t="shared" si="116"/>
        <v>0.31211498973305951</v>
      </c>
      <c r="G193" s="25">
        <f t="shared" si="116"/>
        <v>0.27650562541363338</v>
      </c>
      <c r="H193" s="25"/>
    </row>
    <row r="194" spans="1:8" x14ac:dyDescent="0.25">
      <c r="A194" s="2" t="s">
        <v>342</v>
      </c>
      <c r="B194" s="3" t="s">
        <v>343</v>
      </c>
      <c r="C194" s="3" t="s">
        <v>343</v>
      </c>
      <c r="D194" s="3" t="s">
        <v>343</v>
      </c>
      <c r="E194" s="3" t="s">
        <v>343</v>
      </c>
      <c r="F194" s="3" t="s">
        <v>343</v>
      </c>
      <c r="G194" s="3" t="s">
        <v>343</v>
      </c>
      <c r="H194" s="3"/>
    </row>
    <row r="196" spans="1:8" x14ac:dyDescent="0.25">
      <c r="A196" s="2" t="s">
        <v>344</v>
      </c>
    </row>
    <row r="197" spans="1:8" x14ac:dyDescent="0.25">
      <c r="A197" s="2" t="s">
        <v>345</v>
      </c>
    </row>
    <row r="198" spans="1:8" x14ac:dyDescent="0.25">
      <c r="A198" s="2" t="s">
        <v>346</v>
      </c>
    </row>
    <row r="199" spans="1:8" x14ac:dyDescent="0.25">
      <c r="A199" s="2" t="s">
        <v>347</v>
      </c>
    </row>
    <row r="200" spans="1:8" x14ac:dyDescent="0.25">
      <c r="A200" s="2" t="s">
        <v>348</v>
      </c>
    </row>
    <row r="201" spans="1:8" x14ac:dyDescent="0.25">
      <c r="A201" s="2" t="s">
        <v>349</v>
      </c>
    </row>
    <row r="202" spans="1:8" x14ac:dyDescent="0.25">
      <c r="A202" s="2" t="s">
        <v>350</v>
      </c>
    </row>
    <row r="203" spans="1:8" x14ac:dyDescent="0.25">
      <c r="A203" s="2" t="s">
        <v>351</v>
      </c>
    </row>
    <row r="204" spans="1:8" x14ac:dyDescent="0.25">
      <c r="A204" s="2" t="s">
        <v>352</v>
      </c>
    </row>
    <row r="205" spans="1:8" x14ac:dyDescent="0.25">
      <c r="A205" s="2" t="s">
        <v>353</v>
      </c>
    </row>
    <row r="207" spans="1:8" x14ac:dyDescent="0.25">
      <c r="A207" s="2" t="s">
        <v>354</v>
      </c>
    </row>
    <row r="208" spans="1:8" x14ac:dyDescent="0.25">
      <c r="A208" s="2" t="s">
        <v>355</v>
      </c>
    </row>
    <row r="209" spans="1:8" x14ac:dyDescent="0.25">
      <c r="A209" s="2" t="s">
        <v>356</v>
      </c>
    </row>
    <row r="211" spans="1:8" s="53" customFormat="1" x14ac:dyDescent="0.25">
      <c r="A211" s="66" t="str">
        <f>+A1</f>
        <v>Kraft Heinz Company</v>
      </c>
      <c r="B211" s="66" t="str">
        <f>+B1</f>
        <v>Reclassified</v>
      </c>
      <c r="C211" s="66"/>
      <c r="D211" s="66"/>
      <c r="E211" s="66"/>
      <c r="F211" s="66"/>
      <c r="G211" s="66"/>
    </row>
    <row r="212" spans="1:8" s="53" customFormat="1" x14ac:dyDescent="0.25">
      <c r="A212" s="66" t="s">
        <v>184</v>
      </c>
      <c r="B212" s="66"/>
      <c r="C212" s="66"/>
      <c r="D212" s="66"/>
      <c r="E212" s="66"/>
      <c r="F212" s="66"/>
      <c r="G212" s="66"/>
    </row>
    <row r="213" spans="1:8" s="53" customFormat="1" x14ac:dyDescent="0.25">
      <c r="A213" s="66" t="str">
        <f>+A3</f>
        <v>in millions except per share data</v>
      </c>
      <c r="B213" s="66"/>
      <c r="C213" s="66"/>
      <c r="D213" s="66"/>
      <c r="E213" s="66"/>
      <c r="F213" s="66" t="s">
        <v>262</v>
      </c>
      <c r="G213" s="72" t="s">
        <v>66</v>
      </c>
      <c r="H213" s="65"/>
    </row>
    <row r="214" spans="1:8" s="53" customFormat="1" ht="15.75" thickBot="1" x14ac:dyDescent="0.3">
      <c r="A214" s="67" t="str">
        <f>+A4</f>
        <v>Fiscal year ended 12/31:</v>
      </c>
      <c r="B214" s="69">
        <v>2022</v>
      </c>
      <c r="C214" s="69">
        <v>2021</v>
      </c>
      <c r="D214" s="69">
        <v>2020</v>
      </c>
      <c r="E214" s="69">
        <v>2019</v>
      </c>
      <c r="F214" s="69">
        <v>2018</v>
      </c>
      <c r="G214" s="69">
        <v>2017</v>
      </c>
      <c r="H214" s="77"/>
    </row>
    <row r="215" spans="1:8" s="20" customFormat="1" x14ac:dyDescent="0.25">
      <c r="A215" s="20" t="s">
        <v>185</v>
      </c>
      <c r="B215" s="23">
        <v>945</v>
      </c>
      <c r="C215" s="23">
        <v>1039</v>
      </c>
      <c r="D215" s="23">
        <v>1070</v>
      </c>
      <c r="E215" s="23">
        <v>1100</v>
      </c>
      <c r="F215" s="23">
        <v>1140</v>
      </c>
      <c r="G215" s="23">
        <v>1115</v>
      </c>
      <c r="H215" s="23"/>
    </row>
    <row r="216" spans="1:8" s="20" customFormat="1" x14ac:dyDescent="0.25">
      <c r="A216" s="20" t="s">
        <v>186</v>
      </c>
      <c r="B216" s="22">
        <v>127</v>
      </c>
      <c r="C216" s="22">
        <v>140</v>
      </c>
      <c r="D216" s="22">
        <v>119</v>
      </c>
      <c r="E216" s="22">
        <v>112</v>
      </c>
      <c r="F216" s="22">
        <v>109</v>
      </c>
      <c r="G216" s="22">
        <v>93</v>
      </c>
      <c r="H216" s="22"/>
    </row>
    <row r="217" spans="1:8" s="20" customFormat="1" x14ac:dyDescent="0.25">
      <c r="B217" s="21"/>
      <c r="C217" s="21"/>
      <c r="D217" s="21"/>
      <c r="E217" s="21"/>
      <c r="F217" s="21"/>
      <c r="G217" s="21"/>
      <c r="H217" s="21"/>
    </row>
    <row r="218" spans="1:8" x14ac:dyDescent="0.25">
      <c r="A218" s="2" t="s">
        <v>187</v>
      </c>
      <c r="B218" s="8">
        <v>200</v>
      </c>
      <c r="C218" s="8">
        <v>207</v>
      </c>
      <c r="D218" s="8">
        <v>219</v>
      </c>
      <c r="E218" s="8">
        <v>210</v>
      </c>
      <c r="F218" s="8">
        <v>218</v>
      </c>
      <c r="G218" s="8">
        <v>250</v>
      </c>
      <c r="H218" s="8"/>
    </row>
    <row r="219" spans="1:8" x14ac:dyDescent="0.25">
      <c r="A219" s="2" t="s">
        <v>188</v>
      </c>
      <c r="B219" s="2">
        <v>1161</v>
      </c>
      <c r="C219" s="2">
        <v>1002</v>
      </c>
      <c r="D219" s="2">
        <v>792</v>
      </c>
      <c r="E219" s="2">
        <v>1033</v>
      </c>
      <c r="F219" s="2">
        <v>1165</v>
      </c>
      <c r="G219" s="2">
        <v>1345</v>
      </c>
    </row>
    <row r="220" spans="1:8" x14ac:dyDescent="0.25">
      <c r="A220" s="2" t="s">
        <v>189</v>
      </c>
      <c r="B220" s="2">
        <f>+B221-B219-B218</f>
        <v>9591</v>
      </c>
      <c r="C220" s="2">
        <f t="shared" ref="C220:G220" si="117">+C221-C219-C218</f>
        <v>9465</v>
      </c>
      <c r="D220" s="2">
        <f t="shared" si="117"/>
        <v>9428</v>
      </c>
      <c r="E220" s="2">
        <f t="shared" si="117"/>
        <v>8999</v>
      </c>
      <c r="F220" s="2">
        <f t="shared" si="117"/>
        <v>8279</v>
      </c>
      <c r="G220" s="2">
        <f t="shared" si="117"/>
        <v>7555</v>
      </c>
    </row>
    <row r="221" spans="1:8" x14ac:dyDescent="0.25">
      <c r="A221" s="2" t="s">
        <v>190</v>
      </c>
      <c r="B221" s="6">
        <f>+B223-B222</f>
        <v>10952</v>
      </c>
      <c r="C221" s="6">
        <f t="shared" ref="C221:G221" si="118">+C223-C222</f>
        <v>10674</v>
      </c>
      <c r="D221" s="6">
        <f t="shared" si="118"/>
        <v>10439</v>
      </c>
      <c r="E221" s="6">
        <f t="shared" si="118"/>
        <v>10242</v>
      </c>
      <c r="F221" s="6">
        <f t="shared" si="118"/>
        <v>9662</v>
      </c>
      <c r="G221" s="6">
        <f t="shared" si="118"/>
        <v>9150</v>
      </c>
      <c r="H221" s="30"/>
    </row>
    <row r="222" spans="1:8" x14ac:dyDescent="0.25">
      <c r="A222" s="2" t="s">
        <v>191</v>
      </c>
      <c r="B222" s="2">
        <v>-4212</v>
      </c>
      <c r="C222" s="2">
        <v>-3868</v>
      </c>
      <c r="D222" s="2">
        <v>-3563</v>
      </c>
      <c r="E222" s="2">
        <v>-3187</v>
      </c>
      <c r="F222" s="2">
        <v>-2584</v>
      </c>
      <c r="G222" s="2">
        <v>-2089</v>
      </c>
    </row>
    <row r="223" spans="1:8" ht="15.75" thickBot="1" x14ac:dyDescent="0.3">
      <c r="A223" s="2" t="s">
        <v>22</v>
      </c>
      <c r="B223" s="9">
        <f t="shared" ref="B223:G223" si="119">+B17</f>
        <v>6740</v>
      </c>
      <c r="C223" s="9">
        <f t="shared" si="119"/>
        <v>6806</v>
      </c>
      <c r="D223" s="9">
        <f t="shared" si="119"/>
        <v>6876</v>
      </c>
      <c r="E223" s="9">
        <f t="shared" si="119"/>
        <v>7055</v>
      </c>
      <c r="F223" s="9">
        <f t="shared" si="119"/>
        <v>7078</v>
      </c>
      <c r="G223" s="9">
        <f t="shared" si="119"/>
        <v>7061</v>
      </c>
      <c r="H223" s="32"/>
    </row>
    <row r="224" spans="1:8" ht="15.75" thickTop="1" x14ac:dyDescent="0.25"/>
    <row r="225" spans="1:24" x14ac:dyDescent="0.25">
      <c r="A225" s="2" t="s">
        <v>192</v>
      </c>
      <c r="B225" s="8">
        <v>672</v>
      </c>
      <c r="C225" s="8">
        <v>671</v>
      </c>
      <c r="D225" s="8">
        <v>705</v>
      </c>
      <c r="E225" s="8">
        <v>708</v>
      </c>
      <c r="F225" s="8">
        <v>693</v>
      </c>
      <c r="G225" s="8">
        <v>680</v>
      </c>
      <c r="H225" s="8"/>
    </row>
    <row r="227" spans="1:24" x14ac:dyDescent="0.25">
      <c r="A227" s="2" t="s">
        <v>193</v>
      </c>
      <c r="B227" s="8">
        <v>668</v>
      </c>
      <c r="C227" s="8">
        <v>569</v>
      </c>
      <c r="D227" s="8">
        <v>562</v>
      </c>
      <c r="E227" s="8">
        <v>542</v>
      </c>
      <c r="F227" s="8">
        <v>0</v>
      </c>
      <c r="G227" s="8">
        <v>0</v>
      </c>
      <c r="H227" s="8"/>
    </row>
    <row r="228" spans="1:24" x14ac:dyDescent="0.25">
      <c r="A228" s="2" t="s">
        <v>194</v>
      </c>
      <c r="B228" s="2">
        <v>125</v>
      </c>
      <c r="C228" s="2">
        <v>133</v>
      </c>
      <c r="D228" s="2">
        <v>135</v>
      </c>
      <c r="E228" s="2">
        <v>147</v>
      </c>
      <c r="F228" s="2">
        <v>0</v>
      </c>
      <c r="G228" s="2">
        <v>0</v>
      </c>
    </row>
    <row r="229" spans="1:24" x14ac:dyDescent="0.25">
      <c r="A229" s="2" t="s">
        <v>195</v>
      </c>
      <c r="B229" s="8">
        <v>585</v>
      </c>
      <c r="C229" s="8">
        <v>484</v>
      </c>
      <c r="D229" s="8">
        <v>475</v>
      </c>
      <c r="E229" s="8">
        <v>454</v>
      </c>
      <c r="F229" s="8">
        <v>0</v>
      </c>
      <c r="G229" s="8">
        <v>0</v>
      </c>
      <c r="H229" s="8"/>
    </row>
    <row r="232" spans="1:24" s="19" customFormat="1" x14ac:dyDescent="0.25">
      <c r="A232" s="66" t="str">
        <f>+A1</f>
        <v>Kraft Heinz Company</v>
      </c>
      <c r="B232" s="66" t="str">
        <f>+B1</f>
        <v>Reclassified</v>
      </c>
      <c r="C232" s="66"/>
      <c r="D232" s="66"/>
      <c r="E232" s="66"/>
      <c r="F232" s="66"/>
      <c r="G232" s="66"/>
      <c r="H232" s="53"/>
    </row>
    <row r="233" spans="1:24" s="19" customFormat="1" x14ac:dyDescent="0.25">
      <c r="A233" s="66" t="s">
        <v>309</v>
      </c>
      <c r="B233" s="66"/>
      <c r="C233" s="66"/>
      <c r="D233" s="66"/>
      <c r="E233" s="66"/>
      <c r="F233" s="66"/>
      <c r="G233" s="66"/>
      <c r="H233" s="53"/>
    </row>
    <row r="234" spans="1:24" s="19" customFormat="1" x14ac:dyDescent="0.25">
      <c r="A234" s="66" t="str">
        <f>+A3</f>
        <v>in millions except per share data</v>
      </c>
      <c r="B234" s="66"/>
      <c r="C234" s="66"/>
      <c r="D234" s="66"/>
      <c r="E234" s="66"/>
      <c r="F234" s="66" t="s">
        <v>262</v>
      </c>
      <c r="G234" s="72" t="s">
        <v>66</v>
      </c>
      <c r="H234" s="65"/>
    </row>
    <row r="235" spans="1:24" s="19" customFormat="1" ht="15.75" thickBot="1" x14ac:dyDescent="0.3">
      <c r="A235" s="67" t="str">
        <f>+A4</f>
        <v>Fiscal year ended 12/31:</v>
      </c>
      <c r="B235" s="69">
        <v>2022</v>
      </c>
      <c r="C235" s="69">
        <v>2021</v>
      </c>
      <c r="D235" s="69">
        <v>2020</v>
      </c>
      <c r="E235" s="69">
        <v>2019</v>
      </c>
      <c r="F235" s="69">
        <v>2018</v>
      </c>
      <c r="G235" s="69">
        <v>2017</v>
      </c>
      <c r="H235" s="77"/>
    </row>
    <row r="236" spans="1:24" x14ac:dyDescent="0.25">
      <c r="A236" s="5" t="s">
        <v>79</v>
      </c>
      <c r="B236" s="8">
        <v>0</v>
      </c>
      <c r="C236" s="8">
        <v>0</v>
      </c>
      <c r="D236" s="8">
        <v>0</v>
      </c>
      <c r="E236" s="8">
        <v>0</v>
      </c>
      <c r="F236" s="8">
        <v>152</v>
      </c>
      <c r="G236" s="8">
        <v>538</v>
      </c>
      <c r="H236" s="8"/>
      <c r="J236" s="25">
        <f t="shared" ref="J236:O239" si="120">+B236/B$21</f>
        <v>0</v>
      </c>
      <c r="K236" s="25">
        <f t="shared" si="120"/>
        <v>0</v>
      </c>
      <c r="L236" s="25">
        <f t="shared" si="120"/>
        <v>0</v>
      </c>
      <c r="M236" s="25">
        <f t="shared" si="120"/>
        <v>0</v>
      </c>
      <c r="N236" s="25">
        <f t="shared" si="120"/>
        <v>1.4691526275601434E-3</v>
      </c>
      <c r="O236" s="25">
        <f t="shared" si="120"/>
        <v>4.4798987442960401E-3</v>
      </c>
      <c r="P236" s="25"/>
      <c r="R236" s="25">
        <f t="shared" ref="R236:R239" si="121">RATE(5,0,-G236,B236)</f>
        <v>-0.99999940914518248</v>
      </c>
      <c r="S236" s="25"/>
      <c r="T236" s="25"/>
      <c r="U236" s="25"/>
      <c r="V236" s="25"/>
      <c r="W236" s="25">
        <f t="shared" ref="T236:X239" si="122">(+E236-F236)/F236</f>
        <v>-1</v>
      </c>
      <c r="X236" s="25">
        <f t="shared" si="122"/>
        <v>-0.71747211895910779</v>
      </c>
    </row>
    <row r="237" spans="1:24" x14ac:dyDescent="0.25">
      <c r="A237" s="5" t="s">
        <v>80</v>
      </c>
      <c r="B237" s="2">
        <v>240</v>
      </c>
      <c r="C237" s="2">
        <v>136</v>
      </c>
      <c r="D237" s="2">
        <v>351</v>
      </c>
      <c r="E237" s="2">
        <v>384</v>
      </c>
      <c r="F237" s="2">
        <v>400</v>
      </c>
      <c r="G237" s="2">
        <v>345</v>
      </c>
      <c r="J237" s="25">
        <f t="shared" si="120"/>
        <v>2.6515528156176461E-3</v>
      </c>
      <c r="K237" s="25">
        <f t="shared" si="120"/>
        <v>1.4561963295286636E-3</v>
      </c>
      <c r="L237" s="25">
        <f t="shared" si="120"/>
        <v>3.5159771611739956E-3</v>
      </c>
      <c r="M237" s="25">
        <f t="shared" si="120"/>
        <v>3.7851158206012813E-3</v>
      </c>
      <c r="N237" s="25">
        <f t="shared" si="120"/>
        <v>3.8661911251582724E-3</v>
      </c>
      <c r="O237" s="25">
        <f t="shared" si="120"/>
        <v>2.8727975218998769E-3</v>
      </c>
      <c r="P237" s="25"/>
      <c r="R237" s="25">
        <f t="shared" si="121"/>
        <v>-7.0009677432707695E-2</v>
      </c>
      <c r="S237" s="25">
        <f t="shared" ref="S237:S239" si="123">AVERAGE(T237:X237)</f>
        <v>3.7130611934480209E-2</v>
      </c>
      <c r="T237" s="25">
        <f t="shared" si="122"/>
        <v>0.76470588235294112</v>
      </c>
      <c r="U237" s="25">
        <f t="shared" si="122"/>
        <v>-0.61253561253561251</v>
      </c>
      <c r="V237" s="25">
        <f t="shared" si="122"/>
        <v>-8.59375E-2</v>
      </c>
      <c r="W237" s="25">
        <f t="shared" si="122"/>
        <v>-0.04</v>
      </c>
      <c r="X237" s="25">
        <f t="shared" si="122"/>
        <v>0.15942028985507245</v>
      </c>
    </row>
    <row r="238" spans="1:24" x14ac:dyDescent="0.25">
      <c r="A238" s="5" t="s">
        <v>20</v>
      </c>
      <c r="B238" s="2">
        <v>842</v>
      </c>
      <c r="C238" s="2">
        <v>716</v>
      </c>
      <c r="D238" s="2">
        <v>574</v>
      </c>
      <c r="E238" s="2">
        <v>618</v>
      </c>
      <c r="F238" s="2">
        <v>1221</v>
      </c>
      <c r="G238" s="2">
        <v>655</v>
      </c>
      <c r="J238" s="25">
        <f t="shared" si="120"/>
        <v>9.3025311281252424E-3</v>
      </c>
      <c r="K238" s="25">
        <f t="shared" si="120"/>
        <v>7.6664453819303164E-3</v>
      </c>
      <c r="L238" s="25">
        <f t="shared" si="120"/>
        <v>5.7497746168486425E-3</v>
      </c>
      <c r="M238" s="25">
        <f t="shared" si="120"/>
        <v>6.091670773780187E-3</v>
      </c>
      <c r="N238" s="25">
        <f t="shared" si="120"/>
        <v>1.1801548409545625E-2</v>
      </c>
      <c r="O238" s="25">
        <f t="shared" si="120"/>
        <v>5.4541518169403461E-3</v>
      </c>
      <c r="P238" s="33"/>
      <c r="Q238" s="30"/>
      <c r="R238" s="25">
        <f t="shared" si="121"/>
        <v>5.1511818464607374E-2</v>
      </c>
      <c r="S238" s="25">
        <f t="shared" si="123"/>
        <v>0.1444863291514033</v>
      </c>
      <c r="T238" s="25">
        <f t="shared" si="122"/>
        <v>0.17597765363128492</v>
      </c>
      <c r="U238" s="25">
        <f t="shared" si="122"/>
        <v>0.24738675958188153</v>
      </c>
      <c r="V238" s="25">
        <f t="shared" si="122"/>
        <v>-7.1197411003236247E-2</v>
      </c>
      <c r="W238" s="25">
        <f t="shared" si="122"/>
        <v>-0.49385749385749383</v>
      </c>
      <c r="X238" s="25">
        <f t="shared" si="122"/>
        <v>0.8641221374045801</v>
      </c>
    </row>
    <row r="239" spans="1:24" x14ac:dyDescent="0.25">
      <c r="A239" s="5" t="s">
        <v>81</v>
      </c>
      <c r="B239" s="2">
        <v>4</v>
      </c>
      <c r="C239" s="2">
        <v>11</v>
      </c>
      <c r="D239" s="2">
        <v>1863</v>
      </c>
      <c r="E239" s="2">
        <v>122</v>
      </c>
      <c r="F239" s="2">
        <v>1376</v>
      </c>
      <c r="G239" s="2">
        <v>353</v>
      </c>
      <c r="J239" s="26">
        <f t="shared" si="120"/>
        <v>4.4192546926960765E-5</v>
      </c>
      <c r="K239" s="26">
        <f t="shared" si="120"/>
        <v>1.1778058547658308E-4</v>
      </c>
      <c r="L239" s="26">
        <f t="shared" si="120"/>
        <v>1.8661724932385056E-2</v>
      </c>
      <c r="M239" s="26">
        <f t="shared" si="120"/>
        <v>1.2025628388368655E-3</v>
      </c>
      <c r="N239" s="26">
        <f t="shared" si="120"/>
        <v>1.3299697470544457E-2</v>
      </c>
      <c r="O239" s="26">
        <f t="shared" si="120"/>
        <v>2.9394131166105984E-3</v>
      </c>
      <c r="P239" s="33"/>
      <c r="Q239" s="30"/>
      <c r="R239" s="26">
        <f t="shared" si="121"/>
        <v>-0.59181498497391294</v>
      </c>
      <c r="S239" s="26">
        <f t="shared" si="123"/>
        <v>2.9253424819919362</v>
      </c>
      <c r="T239" s="26">
        <f t="shared" si="122"/>
        <v>-0.63636363636363635</v>
      </c>
      <c r="U239" s="26">
        <f t="shared" si="122"/>
        <v>-0.99409554482018248</v>
      </c>
      <c r="V239" s="26">
        <f t="shared" si="122"/>
        <v>14.270491803278688</v>
      </c>
      <c r="W239" s="26">
        <f t="shared" si="122"/>
        <v>-0.91133720930232553</v>
      </c>
      <c r="X239" s="26">
        <f t="shared" si="122"/>
        <v>2.8980169971671388</v>
      </c>
    </row>
    <row r="240" spans="1:24" ht="15.75" thickBot="1" x14ac:dyDescent="0.3">
      <c r="A240" s="2" t="s">
        <v>20</v>
      </c>
      <c r="B240" s="9">
        <f>SUM(B236:B239)</f>
        <v>1086</v>
      </c>
      <c r="C240" s="9">
        <f t="shared" ref="C240:G240" si="124">SUM(C236:C239)</f>
        <v>863</v>
      </c>
      <c r="D240" s="9">
        <f t="shared" si="124"/>
        <v>2788</v>
      </c>
      <c r="E240" s="9">
        <f t="shared" si="124"/>
        <v>1124</v>
      </c>
      <c r="F240" s="9">
        <f t="shared" si="124"/>
        <v>3149</v>
      </c>
      <c r="G240" s="9">
        <f t="shared" si="124"/>
        <v>1891</v>
      </c>
      <c r="H240" s="32"/>
      <c r="P240" s="30"/>
      <c r="Q240" s="30"/>
    </row>
    <row r="241" spans="1:24" ht="15.75" thickTop="1" x14ac:dyDescent="0.25">
      <c r="P241" s="30"/>
      <c r="Q241" s="30"/>
    </row>
    <row r="242" spans="1:24" x14ac:dyDescent="0.25">
      <c r="A242" s="5" t="s">
        <v>23</v>
      </c>
      <c r="B242" s="8">
        <v>30833</v>
      </c>
      <c r="C242" s="8">
        <v>31296</v>
      </c>
      <c r="D242" s="8">
        <v>33089</v>
      </c>
      <c r="E242" s="8">
        <v>35546</v>
      </c>
      <c r="F242" s="8">
        <v>36503</v>
      </c>
      <c r="G242" s="8">
        <v>44825</v>
      </c>
      <c r="H242" s="8"/>
      <c r="J242" s="25">
        <f t="shared" ref="J242:O243" si="125">+B242/B$21</f>
        <v>0.34064719984974534</v>
      </c>
      <c r="K242" s="25">
        <f t="shared" si="125"/>
        <v>0.33509647300683126</v>
      </c>
      <c r="L242" s="25">
        <f t="shared" si="125"/>
        <v>0.3314534709005309</v>
      </c>
      <c r="M242" s="25">
        <f t="shared" si="125"/>
        <v>0.35037949728930506</v>
      </c>
      <c r="N242" s="25">
        <f t="shared" si="125"/>
        <v>0.35281893660413105</v>
      </c>
      <c r="O242" s="25">
        <f t="shared" si="125"/>
        <v>0.37325550411351299</v>
      </c>
      <c r="P242" s="33"/>
      <c r="Q242" s="30"/>
      <c r="R242" s="25">
        <f t="shared" ref="R242:R243" si="126">RATE(5,0,-G242,B242)</f>
        <v>-7.2104439321893851E-2</v>
      </c>
      <c r="S242" s="25">
        <f t="shared" ref="S242:S243" si="127">AVERAGE(T242:X242)</f>
        <v>-6.999509320131285E-2</v>
      </c>
      <c r="T242" s="25">
        <f t="shared" ref="T242:X243" si="128">(+B242-C242)/C242</f>
        <v>-1.4794222903885481E-2</v>
      </c>
      <c r="U242" s="25">
        <f t="shared" si="128"/>
        <v>-5.4187192118226604E-2</v>
      </c>
      <c r="V242" s="25">
        <f t="shared" si="128"/>
        <v>-6.9121701457266635E-2</v>
      </c>
      <c r="W242" s="25">
        <f t="shared" si="128"/>
        <v>-2.6217023258362327E-2</v>
      </c>
      <c r="X242" s="25">
        <f t="shared" si="128"/>
        <v>-0.1856553262688232</v>
      </c>
    </row>
    <row r="243" spans="1:24" x14ac:dyDescent="0.25">
      <c r="A243" s="5" t="s">
        <v>83</v>
      </c>
      <c r="B243" s="2">
        <v>42649</v>
      </c>
      <c r="C243" s="2">
        <v>43542</v>
      </c>
      <c r="D243" s="2">
        <v>46667</v>
      </c>
      <c r="E243" s="2">
        <v>48652</v>
      </c>
      <c r="F243" s="2">
        <v>49468</v>
      </c>
      <c r="G243" s="2">
        <v>59432</v>
      </c>
      <c r="J243" s="25">
        <f t="shared" si="125"/>
        <v>0.47119198347198743</v>
      </c>
      <c r="K243" s="25">
        <f t="shared" si="125"/>
        <v>0.46621838662012549</v>
      </c>
      <c r="L243" s="25">
        <f t="shared" si="125"/>
        <v>0.46746468997295404</v>
      </c>
      <c r="M243" s="25">
        <f t="shared" si="125"/>
        <v>0.4795662888122228</v>
      </c>
      <c r="N243" s="25">
        <f t="shared" si="125"/>
        <v>0.47813185644832351</v>
      </c>
      <c r="O243" s="25">
        <f t="shared" si="125"/>
        <v>0.49488725310595211</v>
      </c>
      <c r="P243" s="33"/>
      <c r="Q243" s="30"/>
      <c r="R243" s="25">
        <f t="shared" si="126"/>
        <v>-6.4211505046658401E-2</v>
      </c>
      <c r="S243" s="25">
        <f t="shared" si="127"/>
        <v>-6.2484401974492662E-2</v>
      </c>
      <c r="T243" s="25">
        <f t="shared" si="128"/>
        <v>-2.050893390289835E-2</v>
      </c>
      <c r="U243" s="25">
        <f t="shared" si="128"/>
        <v>-6.6963807401375711E-2</v>
      </c>
      <c r="V243" s="25">
        <f t="shared" si="128"/>
        <v>-4.0799967113376634E-2</v>
      </c>
      <c r="W243" s="25">
        <f t="shared" si="128"/>
        <v>-1.6495512250343656E-2</v>
      </c>
      <c r="X243" s="25">
        <f t="shared" si="128"/>
        <v>-0.16765378920446897</v>
      </c>
    </row>
    <row r="244" spans="1:24" ht="15.75" thickBot="1" x14ac:dyDescent="0.3">
      <c r="A244" s="2" t="s">
        <v>310</v>
      </c>
      <c r="B244" s="9">
        <f>SUM(B242:B243)</f>
        <v>73482</v>
      </c>
      <c r="C244" s="9">
        <f t="shared" ref="C244:G244" si="129">SUM(C242:C243)</f>
        <v>74838</v>
      </c>
      <c r="D244" s="9">
        <f t="shared" si="129"/>
        <v>79756</v>
      </c>
      <c r="E244" s="9">
        <f t="shared" si="129"/>
        <v>84198</v>
      </c>
      <c r="F244" s="9">
        <f t="shared" si="129"/>
        <v>85971</v>
      </c>
      <c r="G244" s="9">
        <f t="shared" si="129"/>
        <v>104257</v>
      </c>
      <c r="H244" s="32"/>
      <c r="P244" s="30"/>
      <c r="Q244" s="30"/>
    </row>
    <row r="245" spans="1:24" ht="15.75" thickTop="1" x14ac:dyDescent="0.25">
      <c r="P245" s="30"/>
      <c r="Q245" s="30"/>
    </row>
    <row r="246" spans="1:24" x14ac:dyDescent="0.25">
      <c r="A246" s="5" t="s">
        <v>311</v>
      </c>
      <c r="B246" s="2">
        <v>2394</v>
      </c>
      <c r="C246" s="2">
        <v>2756</v>
      </c>
      <c r="D246" s="2">
        <v>2376</v>
      </c>
      <c r="E246" s="2">
        <v>2100</v>
      </c>
      <c r="F246" s="2">
        <v>1337</v>
      </c>
      <c r="G246" s="2">
        <v>1573</v>
      </c>
      <c r="P246" s="30"/>
      <c r="Q246" s="30"/>
    </row>
    <row r="247" spans="1:24" x14ac:dyDescent="0.25">
      <c r="A247" s="5" t="s">
        <v>312</v>
      </c>
      <c r="B247" s="2">
        <f>-B227</f>
        <v>-668</v>
      </c>
      <c r="C247" s="2">
        <f t="shared" ref="C247:G247" si="130">-C227</f>
        <v>-569</v>
      </c>
      <c r="D247" s="2">
        <f t="shared" si="130"/>
        <v>-562</v>
      </c>
      <c r="E247" s="2">
        <f t="shared" si="130"/>
        <v>-542</v>
      </c>
      <c r="F247" s="2">
        <f t="shared" si="130"/>
        <v>0</v>
      </c>
      <c r="G247" s="2">
        <f t="shared" si="130"/>
        <v>0</v>
      </c>
      <c r="P247" s="30"/>
      <c r="Q247" s="30"/>
    </row>
    <row r="248" spans="1:24" ht="15.75" thickBot="1" x14ac:dyDescent="0.3">
      <c r="A248" s="2" t="s">
        <v>313</v>
      </c>
      <c r="B248" s="9">
        <f>SUM(B246:B247)</f>
        <v>1726</v>
      </c>
      <c r="C248" s="9">
        <f t="shared" ref="C248:G248" si="131">SUM(C246:C247)</f>
        <v>2187</v>
      </c>
      <c r="D248" s="9">
        <f t="shared" si="131"/>
        <v>1814</v>
      </c>
      <c r="E248" s="9">
        <f t="shared" si="131"/>
        <v>1558</v>
      </c>
      <c r="F248" s="9">
        <f t="shared" si="131"/>
        <v>1337</v>
      </c>
      <c r="G248" s="9">
        <f t="shared" si="131"/>
        <v>1573</v>
      </c>
      <c r="P248" s="30"/>
      <c r="Q248" s="30"/>
    </row>
    <row r="249" spans="1:24" ht="15.75" thickTop="1" x14ac:dyDescent="0.25">
      <c r="P249" s="30"/>
      <c r="Q249" s="30"/>
    </row>
    <row r="250" spans="1:24" x14ac:dyDescent="0.25">
      <c r="A250" s="5" t="s">
        <v>86</v>
      </c>
      <c r="B250" s="8">
        <v>6</v>
      </c>
      <c r="C250" s="8">
        <v>14</v>
      </c>
      <c r="D250" s="8">
        <v>6</v>
      </c>
      <c r="E250" s="8">
        <v>6</v>
      </c>
      <c r="F250" s="8">
        <v>21</v>
      </c>
      <c r="G250" s="8">
        <v>462</v>
      </c>
      <c r="H250" s="8"/>
      <c r="J250" s="25">
        <f t="shared" ref="J250:O251" si="132">+B250/B$21</f>
        <v>6.6288820390441154E-5</v>
      </c>
      <c r="K250" s="25">
        <f t="shared" si="132"/>
        <v>1.4990256333383302E-4</v>
      </c>
      <c r="L250" s="25">
        <f t="shared" si="132"/>
        <v>6.0102173695281982E-5</v>
      </c>
      <c r="M250" s="25">
        <f t="shared" si="132"/>
        <v>5.914243469689502E-5</v>
      </c>
      <c r="N250" s="25">
        <f t="shared" si="132"/>
        <v>2.0297503407080928E-4</v>
      </c>
      <c r="O250" s="25">
        <f t="shared" si="132"/>
        <v>3.8470505945441828E-3</v>
      </c>
      <c r="P250" s="33"/>
      <c r="Q250" s="30"/>
      <c r="R250" s="25">
        <f>RATE(5,0,-G250,B250)</f>
        <v>-0.58052908347039545</v>
      </c>
      <c r="S250" s="25">
        <f t="shared" ref="S250:S265" si="133">AVERAGE(T250:X250)</f>
        <v>-0.1813852813852814</v>
      </c>
      <c r="T250" s="25">
        <f t="shared" ref="T250:X251" si="134">(+B250-C250)/C250</f>
        <v>-0.5714285714285714</v>
      </c>
      <c r="U250" s="25">
        <f t="shared" si="134"/>
        <v>1.3333333333333333</v>
      </c>
      <c r="V250" s="25">
        <f t="shared" si="134"/>
        <v>0</v>
      </c>
      <c r="W250" s="25">
        <f t="shared" si="134"/>
        <v>-0.7142857142857143</v>
      </c>
      <c r="X250" s="25">
        <f t="shared" si="134"/>
        <v>-0.95454545454545459</v>
      </c>
    </row>
    <row r="251" spans="1:24" x14ac:dyDescent="0.25">
      <c r="A251" s="5" t="s">
        <v>87</v>
      </c>
      <c r="B251" s="2">
        <v>831</v>
      </c>
      <c r="C251" s="2">
        <v>740</v>
      </c>
      <c r="D251" s="2">
        <v>230</v>
      </c>
      <c r="E251" s="2">
        <v>1022</v>
      </c>
      <c r="F251" s="2">
        <v>377</v>
      </c>
      <c r="G251" s="2">
        <v>2733</v>
      </c>
      <c r="J251" s="25">
        <f t="shared" si="132"/>
        <v>9.1810016240760992E-3</v>
      </c>
      <c r="K251" s="25">
        <f t="shared" si="132"/>
        <v>7.9234212047883164E-3</v>
      </c>
      <c r="L251" s="25">
        <f t="shared" si="132"/>
        <v>2.3039166583191427E-3</v>
      </c>
      <c r="M251" s="25">
        <f t="shared" si="132"/>
        <v>1.0073928043371119E-2</v>
      </c>
      <c r="N251" s="25">
        <f t="shared" si="132"/>
        <v>3.6438851354616717E-3</v>
      </c>
      <c r="O251" s="25">
        <f t="shared" si="132"/>
        <v>2.2757552543050327E-2</v>
      </c>
      <c r="P251" s="33"/>
      <c r="Q251" s="30"/>
      <c r="R251" s="25">
        <f>RATE(5,0,-G251,B251)</f>
        <v>-0.21188012748640178</v>
      </c>
      <c r="S251" s="25">
        <f t="shared" si="133"/>
        <v>0.48284643684593676</v>
      </c>
      <c r="T251" s="25">
        <f t="shared" si="134"/>
        <v>0.12297297297297298</v>
      </c>
      <c r="U251" s="25">
        <f t="shared" si="134"/>
        <v>2.2173913043478262</v>
      </c>
      <c r="V251" s="25">
        <f t="shared" si="134"/>
        <v>-0.77495107632093929</v>
      </c>
      <c r="W251" s="25">
        <f t="shared" si="134"/>
        <v>1.7108753315649867</v>
      </c>
      <c r="X251" s="25">
        <f t="shared" si="134"/>
        <v>-0.86205634833516287</v>
      </c>
    </row>
    <row r="252" spans="1:24" ht="15.75" thickBot="1" x14ac:dyDescent="0.3">
      <c r="A252" s="12" t="s">
        <v>314</v>
      </c>
      <c r="B252" s="9">
        <f>SUM(B250:B251)</f>
        <v>837</v>
      </c>
      <c r="C252" s="9">
        <f t="shared" ref="C252:G252" si="135">SUM(C250:C251)</f>
        <v>754</v>
      </c>
      <c r="D252" s="9">
        <f t="shared" si="135"/>
        <v>236</v>
      </c>
      <c r="E252" s="9">
        <f t="shared" si="135"/>
        <v>1028</v>
      </c>
      <c r="F252" s="9">
        <f t="shared" si="135"/>
        <v>398</v>
      </c>
      <c r="G252" s="9">
        <f t="shared" si="135"/>
        <v>3195</v>
      </c>
      <c r="H252" s="32"/>
      <c r="J252" s="25"/>
      <c r="K252" s="25"/>
      <c r="L252" s="25"/>
      <c r="M252" s="25"/>
      <c r="N252" s="25"/>
      <c r="O252" s="25"/>
      <c r="P252" s="33"/>
      <c r="Q252" s="30"/>
      <c r="R252" s="25"/>
      <c r="S252" s="25"/>
      <c r="T252" s="25"/>
      <c r="U252" s="25"/>
      <c r="V252" s="25"/>
      <c r="W252" s="25"/>
      <c r="X252" s="25"/>
    </row>
    <row r="253" spans="1:24" ht="15.75" thickTop="1" x14ac:dyDescent="0.25">
      <c r="A253" s="5"/>
      <c r="J253" s="25"/>
      <c r="K253" s="25"/>
      <c r="L253" s="25"/>
      <c r="M253" s="25"/>
      <c r="N253" s="25"/>
      <c r="O253" s="25"/>
      <c r="P253" s="33"/>
      <c r="Q253" s="30"/>
      <c r="R253" s="25"/>
      <c r="S253" s="25"/>
      <c r="T253" s="25"/>
      <c r="U253" s="25"/>
      <c r="V253" s="25"/>
      <c r="W253" s="25"/>
      <c r="X253" s="25"/>
    </row>
    <row r="254" spans="1:24" x14ac:dyDescent="0.25">
      <c r="A254" s="5" t="s">
        <v>89</v>
      </c>
      <c r="B254" s="8">
        <v>749</v>
      </c>
      <c r="C254" s="8">
        <v>804</v>
      </c>
      <c r="D254" s="8">
        <v>946</v>
      </c>
      <c r="E254" s="8">
        <v>647</v>
      </c>
      <c r="F254" s="8">
        <v>722</v>
      </c>
      <c r="G254" s="8">
        <v>689</v>
      </c>
      <c r="H254" s="8"/>
      <c r="J254" s="25">
        <f t="shared" ref="J254:O258" si="136">+B254/B$21</f>
        <v>8.2750544120734036E-3</v>
      </c>
      <c r="K254" s="25">
        <f t="shared" si="136"/>
        <v>8.6086900657429809E-3</v>
      </c>
      <c r="L254" s="25">
        <f t="shared" si="136"/>
        <v>9.4761093859561246E-3</v>
      </c>
      <c r="M254" s="25">
        <f t="shared" si="136"/>
        <v>6.3775258748151797E-3</v>
      </c>
      <c r="N254" s="25">
        <f t="shared" si="136"/>
        <v>6.9784749809106809E-3</v>
      </c>
      <c r="O254" s="25">
        <f t="shared" si="136"/>
        <v>5.7372680944609133E-3</v>
      </c>
      <c r="P254" s="33"/>
      <c r="Q254" s="30"/>
      <c r="R254" s="25">
        <f>RATE(5,0,-G254,B254)</f>
        <v>1.6839759291933765E-2</v>
      </c>
      <c r="S254" s="25">
        <f t="shared" si="133"/>
        <v>3.7527327422520657E-2</v>
      </c>
      <c r="T254" s="25">
        <f t="shared" ref="T254:X258" si="137">(+B254-C254)/C254</f>
        <v>-6.8407960199004969E-2</v>
      </c>
      <c r="U254" s="25">
        <f t="shared" si="137"/>
        <v>-0.15010570824524314</v>
      </c>
      <c r="V254" s="25">
        <f t="shared" si="137"/>
        <v>0.46213292117465227</v>
      </c>
      <c r="W254" s="25">
        <f t="shared" si="137"/>
        <v>-0.1038781163434903</v>
      </c>
      <c r="X254" s="25">
        <f t="shared" si="137"/>
        <v>4.7895500725689405E-2</v>
      </c>
    </row>
    <row r="255" spans="1:24" x14ac:dyDescent="0.25">
      <c r="A255" s="5" t="s">
        <v>90</v>
      </c>
      <c r="B255" s="2">
        <v>264</v>
      </c>
      <c r="C255" s="2">
        <v>268</v>
      </c>
      <c r="D255" s="2">
        <v>358</v>
      </c>
      <c r="E255" s="2">
        <v>384</v>
      </c>
      <c r="F255" s="2">
        <v>408</v>
      </c>
      <c r="G255" s="2">
        <v>419</v>
      </c>
      <c r="J255" s="25">
        <f t="shared" si="136"/>
        <v>2.9167080971794108E-3</v>
      </c>
      <c r="K255" s="25">
        <f t="shared" si="136"/>
        <v>2.8695633552476606E-3</v>
      </c>
      <c r="L255" s="25">
        <f t="shared" si="136"/>
        <v>3.5860963638184914E-3</v>
      </c>
      <c r="M255" s="25">
        <f t="shared" si="136"/>
        <v>3.7851158206012813E-3</v>
      </c>
      <c r="N255" s="25">
        <f t="shared" si="136"/>
        <v>3.9435149476614376E-3</v>
      </c>
      <c r="O255" s="25">
        <f t="shared" si="136"/>
        <v>3.4889917729740531E-3</v>
      </c>
      <c r="P255" s="33"/>
      <c r="Q255" s="30"/>
      <c r="R255" s="25">
        <f>RATE(5,0,-G255,B255)</f>
        <v>-8.8245362884069409E-2</v>
      </c>
      <c r="S255" s="25">
        <f t="shared" si="133"/>
        <v>-8.3821373443535047E-2</v>
      </c>
      <c r="T255" s="25">
        <f t="shared" si="137"/>
        <v>-1.4925373134328358E-2</v>
      </c>
      <c r="U255" s="25">
        <f t="shared" si="137"/>
        <v>-0.25139664804469275</v>
      </c>
      <c r="V255" s="25">
        <f t="shared" si="137"/>
        <v>-6.7708333333333329E-2</v>
      </c>
      <c r="W255" s="25">
        <f t="shared" si="137"/>
        <v>-5.8823529411764705E-2</v>
      </c>
      <c r="X255" s="25">
        <f t="shared" si="137"/>
        <v>-2.6252983293556086E-2</v>
      </c>
    </row>
    <row r="256" spans="1:24" x14ac:dyDescent="0.25">
      <c r="A256" s="5" t="s">
        <v>91</v>
      </c>
      <c r="B256" s="2">
        <v>136</v>
      </c>
      <c r="C256" s="2">
        <v>541</v>
      </c>
      <c r="D256" s="2">
        <v>0</v>
      </c>
      <c r="E256" s="2">
        <v>0</v>
      </c>
      <c r="F256" s="2">
        <v>0</v>
      </c>
      <c r="G256" s="2">
        <v>0</v>
      </c>
      <c r="J256" s="25">
        <f t="shared" si="136"/>
        <v>1.5025465955166661E-3</v>
      </c>
      <c r="K256" s="25">
        <f t="shared" si="136"/>
        <v>5.7926633402574038E-3</v>
      </c>
      <c r="L256" s="25">
        <f t="shared" si="136"/>
        <v>0</v>
      </c>
      <c r="M256" s="25">
        <f t="shared" si="136"/>
        <v>0</v>
      </c>
      <c r="N256" s="25">
        <f t="shared" si="136"/>
        <v>0</v>
      </c>
      <c r="O256" s="25">
        <f t="shared" si="136"/>
        <v>0</v>
      </c>
      <c r="P256" s="33"/>
      <c r="Q256" s="30"/>
      <c r="R256" s="25"/>
      <c r="S256" s="25">
        <f t="shared" si="133"/>
        <v>-0.74861367837338266</v>
      </c>
      <c r="T256" s="25">
        <f t="shared" si="137"/>
        <v>-0.74861367837338266</v>
      </c>
      <c r="U256" s="25"/>
      <c r="V256" s="25"/>
      <c r="W256" s="25"/>
      <c r="X256" s="25"/>
    </row>
    <row r="257" spans="1:24" x14ac:dyDescent="0.25">
      <c r="A257" s="5" t="s">
        <v>92</v>
      </c>
      <c r="B257" s="2">
        <v>0</v>
      </c>
      <c r="C257" s="2">
        <v>0</v>
      </c>
      <c r="D257" s="2">
        <v>17</v>
      </c>
      <c r="E257" s="2">
        <v>9</v>
      </c>
      <c r="F257" s="2">
        <v>55</v>
      </c>
      <c r="G257" s="2">
        <v>0</v>
      </c>
      <c r="J257" s="25">
        <f t="shared" si="136"/>
        <v>0</v>
      </c>
      <c r="K257" s="25">
        <f t="shared" si="136"/>
        <v>0</v>
      </c>
      <c r="L257" s="25">
        <f t="shared" si="136"/>
        <v>1.7028949213663226E-4</v>
      </c>
      <c r="M257" s="25">
        <f t="shared" si="136"/>
        <v>8.8713652045342527E-5</v>
      </c>
      <c r="N257" s="25">
        <f t="shared" si="136"/>
        <v>5.3160127970926241E-4</v>
      </c>
      <c r="O257" s="25">
        <f t="shared" si="136"/>
        <v>0</v>
      </c>
      <c r="P257" s="33"/>
      <c r="Q257" s="30"/>
      <c r="R257" s="25"/>
      <c r="S257" s="25"/>
      <c r="T257" s="25"/>
      <c r="U257" s="25">
        <f t="shared" si="137"/>
        <v>-1</v>
      </c>
      <c r="V257" s="25">
        <f t="shared" si="137"/>
        <v>0.88888888888888884</v>
      </c>
      <c r="W257" s="25">
        <f t="shared" si="137"/>
        <v>-0.83636363636363631</v>
      </c>
      <c r="X257" s="25"/>
    </row>
    <row r="258" spans="1:24" x14ac:dyDescent="0.25">
      <c r="A258" s="5" t="s">
        <v>29</v>
      </c>
      <c r="B258" s="30">
        <v>2194</v>
      </c>
      <c r="C258" s="30">
        <v>1944</v>
      </c>
      <c r="D258" s="30">
        <v>2200</v>
      </c>
      <c r="E258" s="30">
        <v>1804</v>
      </c>
      <c r="F258" s="30">
        <v>1767</v>
      </c>
      <c r="G258" s="30">
        <v>1489</v>
      </c>
      <c r="H258" s="30"/>
      <c r="J258" s="26">
        <f t="shared" si="136"/>
        <v>2.4239611989437981E-2</v>
      </c>
      <c r="K258" s="26">
        <f t="shared" si="136"/>
        <v>2.0815041651497956E-2</v>
      </c>
      <c r="L258" s="26">
        <f t="shared" si="136"/>
        <v>2.2037463688270059E-2</v>
      </c>
      <c r="M258" s="26">
        <f t="shared" si="136"/>
        <v>1.7782158698866436E-2</v>
      </c>
      <c r="N258" s="26">
        <f t="shared" si="136"/>
        <v>1.7078899295386668E-2</v>
      </c>
      <c r="O258" s="26">
        <f t="shared" si="136"/>
        <v>1.2398827565533092E-2</v>
      </c>
      <c r="P258" s="33"/>
      <c r="Q258" s="30"/>
      <c r="R258" s="26">
        <f>RATE(5,0,-G258,B258)</f>
        <v>8.0608514301309969E-2</v>
      </c>
      <c r="S258" s="26">
        <f t="shared" si="133"/>
        <v>8.7878262416086469E-2</v>
      </c>
      <c r="T258" s="26">
        <f t="shared" si="137"/>
        <v>0.12860082304526749</v>
      </c>
      <c r="U258" s="26">
        <f t="shared" si="137"/>
        <v>-0.11636363636363636</v>
      </c>
      <c r="V258" s="26">
        <f t="shared" si="137"/>
        <v>0.21951219512195122</v>
      </c>
      <c r="W258" s="26">
        <f t="shared" si="137"/>
        <v>2.0939445387662705E-2</v>
      </c>
      <c r="X258" s="26">
        <f t="shared" si="137"/>
        <v>0.18670248488918736</v>
      </c>
    </row>
    <row r="259" spans="1:24" x14ac:dyDescent="0.25">
      <c r="A259" s="5" t="s">
        <v>315</v>
      </c>
      <c r="B259" s="30">
        <f>-B228</f>
        <v>-125</v>
      </c>
      <c r="C259" s="30">
        <f t="shared" ref="C259:G259" si="138">-C228</f>
        <v>-133</v>
      </c>
      <c r="D259" s="30">
        <f t="shared" si="138"/>
        <v>-135</v>
      </c>
      <c r="E259" s="30">
        <f t="shared" si="138"/>
        <v>-147</v>
      </c>
      <c r="F259" s="30">
        <f t="shared" si="138"/>
        <v>0</v>
      </c>
      <c r="G259" s="30">
        <f t="shared" si="138"/>
        <v>0</v>
      </c>
      <c r="H259" s="30"/>
      <c r="J259" s="33"/>
      <c r="K259" s="33"/>
      <c r="L259" s="33"/>
      <c r="M259" s="33"/>
      <c r="N259" s="33"/>
      <c r="O259" s="33"/>
      <c r="P259" s="33"/>
      <c r="Q259" s="30"/>
      <c r="R259" s="33"/>
      <c r="S259" s="33"/>
      <c r="T259" s="33"/>
      <c r="U259" s="33"/>
      <c r="V259" s="33"/>
      <c r="W259" s="33"/>
      <c r="X259" s="33"/>
    </row>
    <row r="260" spans="1:24" ht="15.75" thickBot="1" x14ac:dyDescent="0.3">
      <c r="A260" s="2" t="s">
        <v>29</v>
      </c>
      <c r="B260" s="9">
        <f>SUM(B254:B259)</f>
        <v>3218</v>
      </c>
      <c r="C260" s="9">
        <f t="shared" ref="C260:G260" si="139">SUM(C254:C259)</f>
        <v>3424</v>
      </c>
      <c r="D260" s="9">
        <f t="shared" si="139"/>
        <v>3386</v>
      </c>
      <c r="E260" s="9">
        <f t="shared" si="139"/>
        <v>2697</v>
      </c>
      <c r="F260" s="9">
        <f t="shared" si="139"/>
        <v>2952</v>
      </c>
      <c r="G260" s="9">
        <f t="shared" si="139"/>
        <v>2597</v>
      </c>
      <c r="H260" s="32"/>
      <c r="J260" s="25"/>
      <c r="K260" s="25"/>
      <c r="L260" s="25"/>
      <c r="M260" s="25"/>
      <c r="N260" s="25"/>
      <c r="O260" s="25"/>
      <c r="P260" s="33"/>
      <c r="Q260" s="30"/>
      <c r="R260" s="25"/>
      <c r="S260" s="25"/>
      <c r="T260" s="25"/>
      <c r="U260" s="25"/>
      <c r="V260" s="25"/>
      <c r="W260" s="25"/>
      <c r="X260" s="25"/>
    </row>
    <row r="261" spans="1:24" ht="15.75" thickTop="1" x14ac:dyDescent="0.25">
      <c r="B261" s="30"/>
      <c r="C261" s="30"/>
      <c r="D261" s="30"/>
      <c r="E261" s="30"/>
      <c r="F261" s="30"/>
      <c r="G261" s="30"/>
      <c r="H261" s="30"/>
      <c r="J261" s="25"/>
      <c r="K261" s="25"/>
      <c r="L261" s="25"/>
      <c r="M261" s="25"/>
      <c r="N261" s="25"/>
      <c r="O261" s="25"/>
      <c r="P261" s="33"/>
      <c r="R261" s="25"/>
      <c r="S261" s="25"/>
      <c r="T261" s="25"/>
      <c r="U261" s="25"/>
      <c r="V261" s="25"/>
      <c r="W261" s="25"/>
      <c r="X261" s="25"/>
    </row>
    <row r="262" spans="1:24" x14ac:dyDescent="0.25">
      <c r="A262" s="5" t="s">
        <v>93</v>
      </c>
      <c r="B262" s="8">
        <v>10152</v>
      </c>
      <c r="C262" s="8">
        <v>10536</v>
      </c>
      <c r="D262" s="8">
        <v>11462</v>
      </c>
      <c r="E262" s="8">
        <v>11878</v>
      </c>
      <c r="F262" s="8">
        <v>12202</v>
      </c>
      <c r="G262" s="8">
        <v>14039</v>
      </c>
      <c r="H262" s="8"/>
      <c r="J262" s="25">
        <f t="shared" ref="J262:O265" si="140">+B262/B$21</f>
        <v>0.11216068410062643</v>
      </c>
      <c r="K262" s="25">
        <f t="shared" si="140"/>
        <v>0.11281238623466175</v>
      </c>
      <c r="L262" s="25">
        <f t="shared" si="140"/>
        <v>0.11481518581588701</v>
      </c>
      <c r="M262" s="25">
        <f t="shared" si="140"/>
        <v>0.11708230655495318</v>
      </c>
      <c r="N262" s="25">
        <f t="shared" si="140"/>
        <v>0.11793816027295309</v>
      </c>
      <c r="O262" s="25">
        <f t="shared" si="140"/>
        <v>0.11690204176797789</v>
      </c>
      <c r="P262" s="33"/>
      <c r="R262" s="25">
        <f>RATE(5,0,-G262,B262)</f>
        <v>-6.2776678206707098E-2</v>
      </c>
      <c r="S262" s="25">
        <f t="shared" si="133"/>
        <v>-6.1932138628004139E-2</v>
      </c>
      <c r="T262" s="25">
        <f t="shared" ref="T262:X265" si="141">(+B262-C262)/C262</f>
        <v>-3.644646924829157E-2</v>
      </c>
      <c r="U262" s="25">
        <f t="shared" si="141"/>
        <v>-8.0788693072762166E-2</v>
      </c>
      <c r="V262" s="25">
        <f t="shared" si="141"/>
        <v>-3.5022731099511699E-2</v>
      </c>
      <c r="W262" s="25">
        <f t="shared" si="141"/>
        <v>-2.6553024094410752E-2</v>
      </c>
      <c r="X262" s="25">
        <f t="shared" si="141"/>
        <v>-0.13084977562504452</v>
      </c>
    </row>
    <row r="263" spans="1:24" x14ac:dyDescent="0.25">
      <c r="A263" s="5" t="s">
        <v>94</v>
      </c>
      <c r="B263" s="2">
        <v>144</v>
      </c>
      <c r="C263" s="2">
        <v>205</v>
      </c>
      <c r="D263" s="2">
        <v>243</v>
      </c>
      <c r="E263" s="2">
        <v>273</v>
      </c>
      <c r="F263" s="2">
        <v>306</v>
      </c>
      <c r="G263" s="2">
        <v>427</v>
      </c>
      <c r="J263" s="25">
        <f t="shared" si="140"/>
        <v>1.5909316893705876E-3</v>
      </c>
      <c r="K263" s="25">
        <f t="shared" si="140"/>
        <v>2.1950018202454118E-3</v>
      </c>
      <c r="L263" s="25">
        <f t="shared" si="140"/>
        <v>2.43413803465892E-3</v>
      </c>
      <c r="M263" s="25">
        <f t="shared" si="140"/>
        <v>2.6909807787087233E-3</v>
      </c>
      <c r="N263" s="25">
        <f t="shared" si="140"/>
        <v>2.9576362107460782E-3</v>
      </c>
      <c r="O263" s="25">
        <f t="shared" si="140"/>
        <v>3.5556073676847751E-3</v>
      </c>
      <c r="P263" s="25"/>
      <c r="R263" s="25">
        <f>RATE(5,0,-G263,B263)</f>
        <v>-0.19538722547686657</v>
      </c>
      <c r="S263" s="25">
        <f t="shared" si="133"/>
        <v>-0.19100903778347836</v>
      </c>
      <c r="T263" s="25">
        <f t="shared" si="141"/>
        <v>-0.29756097560975608</v>
      </c>
      <c r="U263" s="25">
        <f t="shared" si="141"/>
        <v>-0.15637860082304528</v>
      </c>
      <c r="V263" s="25">
        <f t="shared" si="141"/>
        <v>-0.10989010989010989</v>
      </c>
      <c r="W263" s="25">
        <f t="shared" si="141"/>
        <v>-0.10784313725490197</v>
      </c>
      <c r="X263" s="25">
        <f t="shared" si="141"/>
        <v>-0.28337236533957844</v>
      </c>
    </row>
    <row r="264" spans="1:24" x14ac:dyDescent="0.25">
      <c r="A264" s="5" t="s">
        <v>95</v>
      </c>
      <c r="B264" s="2">
        <v>1477</v>
      </c>
      <c r="C264" s="2">
        <v>1534</v>
      </c>
      <c r="D264" s="2">
        <v>0</v>
      </c>
      <c r="E264" s="2">
        <v>0</v>
      </c>
      <c r="F264" s="2">
        <v>0</v>
      </c>
      <c r="G264" s="2">
        <v>0</v>
      </c>
      <c r="J264" s="25">
        <f t="shared" si="140"/>
        <v>1.6318097952780265E-2</v>
      </c>
      <c r="K264" s="25">
        <f t="shared" si="140"/>
        <v>1.6425038011007132E-2</v>
      </c>
      <c r="L264" s="25">
        <f t="shared" si="140"/>
        <v>0</v>
      </c>
      <c r="M264" s="25">
        <f t="shared" si="140"/>
        <v>0</v>
      </c>
      <c r="N264" s="25">
        <f t="shared" si="140"/>
        <v>0</v>
      </c>
      <c r="O264" s="25">
        <f t="shared" si="140"/>
        <v>0</v>
      </c>
      <c r="P264" s="25"/>
      <c r="R264" s="25"/>
      <c r="S264" s="25">
        <f t="shared" si="133"/>
        <v>-3.7157757496740544E-2</v>
      </c>
      <c r="T264" s="25">
        <f t="shared" si="141"/>
        <v>-3.7157757496740544E-2</v>
      </c>
      <c r="U264" s="25"/>
      <c r="V264" s="25"/>
      <c r="W264" s="25"/>
      <c r="X264" s="25"/>
    </row>
    <row r="265" spans="1:24" x14ac:dyDescent="0.25">
      <c r="A265" s="5" t="s">
        <v>96</v>
      </c>
      <c r="B265" s="2">
        <v>1609</v>
      </c>
      <c r="C265" s="2">
        <v>1542</v>
      </c>
      <c r="D265" s="2">
        <v>1751</v>
      </c>
      <c r="E265" s="2">
        <v>1459</v>
      </c>
      <c r="F265" s="2">
        <v>902</v>
      </c>
      <c r="G265" s="2">
        <v>1088</v>
      </c>
      <c r="J265" s="26">
        <f t="shared" si="140"/>
        <v>1.7776452001369968E-2</v>
      </c>
      <c r="K265" s="26">
        <f t="shared" si="140"/>
        <v>1.6510696618626464E-2</v>
      </c>
      <c r="L265" s="26">
        <f t="shared" si="140"/>
        <v>1.7539817690073123E-2</v>
      </c>
      <c r="M265" s="26">
        <f t="shared" si="140"/>
        <v>1.4381468703794973E-2</v>
      </c>
      <c r="N265" s="26">
        <f t="shared" si="140"/>
        <v>8.7182609872319041E-3</v>
      </c>
      <c r="O265" s="26">
        <f t="shared" si="140"/>
        <v>9.0597208806581613E-3</v>
      </c>
      <c r="P265" s="33"/>
      <c r="Q265" s="30"/>
      <c r="R265" s="26">
        <f>RATE(5,0,-G265,B265)</f>
        <v>8.1397670613528067E-2</v>
      </c>
      <c r="S265" s="26">
        <f t="shared" si="133"/>
        <v>0.11415750537922809</v>
      </c>
      <c r="T265" s="26">
        <f t="shared" si="141"/>
        <v>4.3450064850843059E-2</v>
      </c>
      <c r="U265" s="26">
        <f t="shared" si="141"/>
        <v>-0.11936036550542548</v>
      </c>
      <c r="V265" s="26">
        <f t="shared" si="141"/>
        <v>0.20013708019191226</v>
      </c>
      <c r="W265" s="26">
        <f t="shared" si="141"/>
        <v>0.6175166297117517</v>
      </c>
      <c r="X265" s="26">
        <f t="shared" si="141"/>
        <v>-0.17095588235294118</v>
      </c>
    </row>
    <row r="266" spans="1:24" x14ac:dyDescent="0.25">
      <c r="A266" s="5" t="s">
        <v>316</v>
      </c>
      <c r="B266" s="2">
        <f>-B229</f>
        <v>-585</v>
      </c>
      <c r="C266" s="2">
        <f t="shared" ref="C266:G266" si="142">-C229</f>
        <v>-484</v>
      </c>
      <c r="D266" s="2">
        <f t="shared" si="142"/>
        <v>-475</v>
      </c>
      <c r="E266" s="2">
        <f t="shared" si="142"/>
        <v>-454</v>
      </c>
      <c r="F266" s="2">
        <f t="shared" si="142"/>
        <v>0</v>
      </c>
      <c r="G266" s="2">
        <f t="shared" si="142"/>
        <v>0</v>
      </c>
      <c r="J266" s="33"/>
      <c r="K266" s="33"/>
      <c r="L266" s="33"/>
      <c r="M266" s="33"/>
      <c r="N266" s="33"/>
      <c r="O266" s="33"/>
      <c r="P266" s="33"/>
      <c r="Q266" s="30"/>
      <c r="R266" s="33"/>
      <c r="S266" s="33"/>
      <c r="T266" s="33"/>
      <c r="U266" s="33"/>
      <c r="V266" s="33"/>
      <c r="W266" s="33"/>
      <c r="X266" s="33"/>
    </row>
    <row r="267" spans="1:24" ht="15.75" thickBot="1" x14ac:dyDescent="0.3">
      <c r="A267" s="2" t="s">
        <v>317</v>
      </c>
      <c r="B267" s="9">
        <f>SUM(B262:B266)</f>
        <v>12797</v>
      </c>
      <c r="C267" s="9">
        <f t="shared" ref="C267:G267" si="143">SUM(C262:C266)</f>
        <v>13333</v>
      </c>
      <c r="D267" s="9">
        <f t="shared" si="143"/>
        <v>12981</v>
      </c>
      <c r="E267" s="9">
        <f t="shared" si="143"/>
        <v>13156</v>
      </c>
      <c r="F267" s="9">
        <f t="shared" si="143"/>
        <v>13410</v>
      </c>
      <c r="G267" s="9">
        <f t="shared" si="143"/>
        <v>15554</v>
      </c>
      <c r="H267" s="32"/>
      <c r="P267" s="30"/>
      <c r="Q267" s="30"/>
    </row>
    <row r="268" spans="1:24" ht="15.75" thickTop="1" x14ac:dyDescent="0.25">
      <c r="P268" s="30"/>
      <c r="Q268" s="30"/>
    </row>
    <row r="269" spans="1:24" x14ac:dyDescent="0.25">
      <c r="A269" s="5" t="s">
        <v>100</v>
      </c>
      <c r="B269" s="8">
        <v>12</v>
      </c>
      <c r="C269" s="8">
        <v>12</v>
      </c>
      <c r="D269" s="8">
        <v>12</v>
      </c>
      <c r="E269" s="8">
        <v>12</v>
      </c>
      <c r="F269" s="8">
        <v>12</v>
      </c>
      <c r="G269" s="8">
        <v>12</v>
      </c>
      <c r="H269" s="8"/>
      <c r="J269" s="25">
        <f t="shared" ref="J269:O275" si="144">+B269/B$21</f>
        <v>1.3257764078088231E-4</v>
      </c>
      <c r="K269" s="25">
        <f t="shared" si="144"/>
        <v>1.2848791142899973E-4</v>
      </c>
      <c r="L269" s="25">
        <f t="shared" si="144"/>
        <v>1.2020434739056396E-4</v>
      </c>
      <c r="M269" s="25">
        <f t="shared" si="144"/>
        <v>1.1828486939379004E-4</v>
      </c>
      <c r="N269" s="25">
        <f t="shared" si="144"/>
        <v>1.1598573375474817E-4</v>
      </c>
      <c r="O269" s="25">
        <f t="shared" si="144"/>
        <v>9.9923392066082669E-5</v>
      </c>
      <c r="P269" s="33"/>
      <c r="Q269" s="30"/>
      <c r="R269" s="25">
        <f t="shared" ref="R269:R275" si="145">RATE(5,0,-G269,B269)</f>
        <v>1.1505115232739206E-16</v>
      </c>
      <c r="S269" s="25">
        <f t="shared" ref="S269:S275" si="146">AVERAGE(T269:X269)</f>
        <v>0</v>
      </c>
      <c r="T269" s="25">
        <f t="shared" ref="T269:X275" si="147">(+B269-C269)/C269</f>
        <v>0</v>
      </c>
      <c r="U269" s="25">
        <f t="shared" si="147"/>
        <v>0</v>
      </c>
      <c r="V269" s="25">
        <f t="shared" si="147"/>
        <v>0</v>
      </c>
      <c r="W269" s="25">
        <f t="shared" si="147"/>
        <v>0</v>
      </c>
      <c r="X269" s="25">
        <f t="shared" si="147"/>
        <v>0</v>
      </c>
    </row>
    <row r="270" spans="1:24" x14ac:dyDescent="0.25">
      <c r="A270" s="5" t="s">
        <v>101</v>
      </c>
      <c r="B270" s="2">
        <v>51834</v>
      </c>
      <c r="C270" s="2">
        <v>53379</v>
      </c>
      <c r="D270" s="2">
        <v>55096</v>
      </c>
      <c r="E270" s="2">
        <v>56828</v>
      </c>
      <c r="F270" s="2">
        <v>58723</v>
      </c>
      <c r="G270" s="2">
        <v>58634</v>
      </c>
      <c r="J270" s="25">
        <f t="shared" si="144"/>
        <v>0.57266911935302112</v>
      </c>
      <c r="K270" s="25">
        <f t="shared" si="144"/>
        <v>0.57154635201404802</v>
      </c>
      <c r="L270" s="25">
        <f t="shared" si="144"/>
        <v>0.55189822698587598</v>
      </c>
      <c r="M270" s="25">
        <f t="shared" si="144"/>
        <v>0.56015771315919172</v>
      </c>
      <c r="N270" s="25">
        <f t="shared" si="144"/>
        <v>0.56758585360667302</v>
      </c>
      <c r="O270" s="25">
        <f t="shared" si="144"/>
        <v>0.48824234753355761</v>
      </c>
      <c r="P270" s="33"/>
      <c r="Q270" s="30"/>
      <c r="R270" s="25">
        <f t="shared" si="145"/>
        <v>-2.4352265709732968E-2</v>
      </c>
      <c r="S270" s="25">
        <f t="shared" si="146"/>
        <v>-2.4267589205706836E-2</v>
      </c>
      <c r="T270" s="25">
        <f t="shared" si="147"/>
        <v>-2.8943966728488733E-2</v>
      </c>
      <c r="U270" s="25">
        <f t="shared" si="147"/>
        <v>-3.1163786844780019E-2</v>
      </c>
      <c r="V270" s="25">
        <f t="shared" si="147"/>
        <v>-3.0477933413106215E-2</v>
      </c>
      <c r="W270" s="25">
        <f t="shared" si="147"/>
        <v>-3.2270149685813057E-2</v>
      </c>
      <c r="X270" s="25">
        <f t="shared" si="147"/>
        <v>1.5178906436538527E-3</v>
      </c>
    </row>
    <row r="271" spans="1:24" x14ac:dyDescent="0.25">
      <c r="A271" s="5" t="s">
        <v>102</v>
      </c>
      <c r="B271" s="2">
        <v>489</v>
      </c>
      <c r="C271" s="2">
        <v>-1682</v>
      </c>
      <c r="D271" s="2">
        <v>-2694</v>
      </c>
      <c r="E271" s="2">
        <v>-3060</v>
      </c>
      <c r="F271" s="2">
        <v>-4853</v>
      </c>
      <c r="G271" s="2">
        <v>8495</v>
      </c>
      <c r="J271" s="25">
        <f t="shared" si="144"/>
        <v>5.4025388618209541E-3</v>
      </c>
      <c r="K271" s="25">
        <f t="shared" si="144"/>
        <v>-1.8009722251964795E-2</v>
      </c>
      <c r="L271" s="25">
        <f t="shared" si="144"/>
        <v>-2.6985875989181608E-2</v>
      </c>
      <c r="M271" s="25">
        <f t="shared" si="144"/>
        <v>-3.0162641695416461E-2</v>
      </c>
      <c r="N271" s="25">
        <f t="shared" si="144"/>
        <v>-4.6906563825982739E-2</v>
      </c>
      <c r="O271" s="25">
        <f t="shared" si="144"/>
        <v>7.0737434633447685E-2</v>
      </c>
      <c r="P271" s="33"/>
      <c r="Q271" s="30"/>
      <c r="R271" s="25">
        <f t="shared" si="145"/>
        <v>-0.43502517645517697</v>
      </c>
      <c r="S271" s="25">
        <f t="shared" si="146"/>
        <v>-0.7453444344093002</v>
      </c>
      <c r="T271" s="25">
        <f t="shared" si="147"/>
        <v>-1.2907253269916765</v>
      </c>
      <c r="U271" s="25">
        <f t="shared" si="147"/>
        <v>-0.37564959168522644</v>
      </c>
      <c r="V271" s="25">
        <f t="shared" si="147"/>
        <v>-0.11960784313725491</v>
      </c>
      <c r="W271" s="25">
        <f t="shared" si="147"/>
        <v>-0.36946218833711109</v>
      </c>
      <c r="X271" s="25">
        <f t="shared" si="147"/>
        <v>-1.5712772218952324</v>
      </c>
    </row>
    <row r="272" spans="1:24" x14ac:dyDescent="0.25">
      <c r="A272" s="5" t="s">
        <v>103</v>
      </c>
      <c r="B272" s="2">
        <v>-2810</v>
      </c>
      <c r="C272" s="2">
        <v>-1824</v>
      </c>
      <c r="D272" s="2">
        <v>-1967</v>
      </c>
      <c r="E272" s="2">
        <v>-1886</v>
      </c>
      <c r="F272" s="2">
        <v>-1943</v>
      </c>
      <c r="G272" s="2">
        <v>-1054</v>
      </c>
      <c r="J272" s="25">
        <f t="shared" si="144"/>
        <v>-3.104526421618994E-2</v>
      </c>
      <c r="K272" s="25">
        <f t="shared" si="144"/>
        <v>-1.9530162537207959E-2</v>
      </c>
      <c r="L272" s="25">
        <f t="shared" si="144"/>
        <v>-1.9703495943103274E-2</v>
      </c>
      <c r="M272" s="25">
        <f t="shared" si="144"/>
        <v>-1.8590438639724E-2</v>
      </c>
      <c r="N272" s="25">
        <f t="shared" si="144"/>
        <v>-1.8780023390456306E-2</v>
      </c>
      <c r="O272" s="25">
        <f t="shared" si="144"/>
        <v>-8.776604603137594E-3</v>
      </c>
      <c r="P272" s="33"/>
      <c r="Q272" s="30"/>
      <c r="R272" s="25">
        <f t="shared" si="145"/>
        <v>0.21667095873235825</v>
      </c>
      <c r="S272" s="25">
        <f t="shared" si="146"/>
        <v>0.26498722067421782</v>
      </c>
      <c r="T272" s="25">
        <f t="shared" si="147"/>
        <v>0.54057017543859653</v>
      </c>
      <c r="U272" s="25">
        <f t="shared" si="147"/>
        <v>-7.2699542450432128E-2</v>
      </c>
      <c r="V272" s="25">
        <f t="shared" si="147"/>
        <v>4.2948038176033931E-2</v>
      </c>
      <c r="W272" s="25">
        <f t="shared" si="147"/>
        <v>-2.9336078229541946E-2</v>
      </c>
      <c r="X272" s="25">
        <f t="shared" si="147"/>
        <v>0.84345351043643269</v>
      </c>
    </row>
    <row r="273" spans="1:24" x14ac:dyDescent="0.25">
      <c r="A273" s="5" t="s">
        <v>104</v>
      </c>
      <c r="B273" s="2">
        <v>-847</v>
      </c>
      <c r="C273" s="2">
        <v>-587</v>
      </c>
      <c r="D273" s="2">
        <v>-344</v>
      </c>
      <c r="E273" s="2">
        <v>-271</v>
      </c>
      <c r="F273" s="2">
        <v>-282</v>
      </c>
      <c r="G273" s="2">
        <v>-224</v>
      </c>
      <c r="J273" s="25">
        <f t="shared" si="144"/>
        <v>-9.357771811783943E-3</v>
      </c>
      <c r="K273" s="25">
        <f t="shared" si="144"/>
        <v>-6.28520033406857E-3</v>
      </c>
      <c r="L273" s="25">
        <f t="shared" si="144"/>
        <v>-3.4458579585295002E-3</v>
      </c>
      <c r="M273" s="25">
        <f t="shared" si="144"/>
        <v>-2.6712666338097584E-3</v>
      </c>
      <c r="N273" s="25">
        <f t="shared" si="144"/>
        <v>-2.7256647432365817E-3</v>
      </c>
      <c r="O273" s="25">
        <f t="shared" si="144"/>
        <v>-1.8652366519002097E-3</v>
      </c>
      <c r="P273" s="33"/>
      <c r="Q273" s="30"/>
      <c r="R273" s="25">
        <f t="shared" si="145"/>
        <v>0.30474931763943724</v>
      </c>
      <c r="S273" s="25">
        <f t="shared" si="146"/>
        <v>0.32772393502322256</v>
      </c>
      <c r="T273" s="25">
        <f t="shared" si="147"/>
        <v>0.44293015332197616</v>
      </c>
      <c r="U273" s="25">
        <f t="shared" si="147"/>
        <v>0.70639534883720934</v>
      </c>
      <c r="V273" s="25">
        <f t="shared" si="147"/>
        <v>0.26937269372693728</v>
      </c>
      <c r="W273" s="25">
        <f t="shared" si="147"/>
        <v>-3.9007092198581561E-2</v>
      </c>
      <c r="X273" s="25">
        <f t="shared" si="147"/>
        <v>0.25892857142857145</v>
      </c>
    </row>
    <row r="274" spans="1:24" x14ac:dyDescent="0.25">
      <c r="A274" s="5" t="s">
        <v>105</v>
      </c>
      <c r="B274" s="2">
        <v>152</v>
      </c>
      <c r="C274" s="2">
        <v>150</v>
      </c>
      <c r="D274" s="2">
        <v>140</v>
      </c>
      <c r="E274" s="2">
        <v>126</v>
      </c>
      <c r="F274" s="2">
        <v>118</v>
      </c>
      <c r="G274" s="2">
        <v>207</v>
      </c>
      <c r="J274" s="26">
        <f t="shared" si="144"/>
        <v>1.6793167832245093E-3</v>
      </c>
      <c r="K274" s="26">
        <f t="shared" si="144"/>
        <v>1.6060988928624964E-3</v>
      </c>
      <c r="L274" s="26">
        <f t="shared" si="144"/>
        <v>1.4023840528899129E-3</v>
      </c>
      <c r="M274" s="26">
        <f t="shared" si="144"/>
        <v>1.2419911286347955E-3</v>
      </c>
      <c r="N274" s="26">
        <f t="shared" si="144"/>
        <v>1.1405263819216902E-3</v>
      </c>
      <c r="O274" s="26">
        <f t="shared" si="144"/>
        <v>1.7236785131399261E-3</v>
      </c>
      <c r="P274" s="33"/>
      <c r="Q274" s="30"/>
      <c r="R274" s="26">
        <f t="shared" si="145"/>
        <v>-5.9898710260960809E-2</v>
      </c>
      <c r="S274" s="26">
        <f t="shared" si="146"/>
        <v>-3.3256412955749735E-2</v>
      </c>
      <c r="T274" s="26">
        <f t="shared" si="147"/>
        <v>1.3333333333333334E-2</v>
      </c>
      <c r="U274" s="26">
        <f t="shared" si="147"/>
        <v>7.1428571428571425E-2</v>
      </c>
      <c r="V274" s="26">
        <f t="shared" si="147"/>
        <v>0.1111111111111111</v>
      </c>
      <c r="W274" s="26">
        <f t="shared" si="147"/>
        <v>6.7796610169491525E-2</v>
      </c>
      <c r="X274" s="26">
        <f t="shared" si="147"/>
        <v>-0.42995169082125606</v>
      </c>
    </row>
    <row r="275" spans="1:24" ht="15.75" thickBot="1" x14ac:dyDescent="0.3">
      <c r="A275" s="2" t="s">
        <v>106</v>
      </c>
      <c r="B275" s="9">
        <f>SUM(B269:B274)</f>
        <v>48830</v>
      </c>
      <c r="C275" s="9">
        <f t="shared" ref="C275:G275" si="148">SUM(C269:C274)</f>
        <v>49448</v>
      </c>
      <c r="D275" s="9">
        <f t="shared" si="148"/>
        <v>50243</v>
      </c>
      <c r="E275" s="9">
        <f t="shared" si="148"/>
        <v>51749</v>
      </c>
      <c r="F275" s="9">
        <f t="shared" si="148"/>
        <v>51775</v>
      </c>
      <c r="G275" s="9">
        <f t="shared" si="148"/>
        <v>66070</v>
      </c>
      <c r="H275" s="32"/>
      <c r="J275" s="25">
        <f t="shared" si="144"/>
        <v>0.53948051661087359</v>
      </c>
      <c r="K275" s="25">
        <f t="shared" si="144"/>
        <v>0.52945585369509818</v>
      </c>
      <c r="L275" s="25">
        <f t="shared" si="144"/>
        <v>0.50328558549534208</v>
      </c>
      <c r="M275" s="25">
        <f t="shared" si="144"/>
        <v>0.51009364218827014</v>
      </c>
      <c r="N275" s="25">
        <f t="shared" si="144"/>
        <v>0.50043011376267388</v>
      </c>
      <c r="O275" s="25">
        <f t="shared" si="144"/>
        <v>0.55016154281717355</v>
      </c>
      <c r="P275" s="33"/>
      <c r="Q275" s="30"/>
      <c r="R275" s="25">
        <f t="shared" si="145"/>
        <v>-5.8681739699202047E-2</v>
      </c>
      <c r="S275" s="25">
        <f t="shared" si="146"/>
        <v>-5.4857339349412525E-2</v>
      </c>
      <c r="T275" s="25">
        <f t="shared" si="147"/>
        <v>-1.2497977673515612E-2</v>
      </c>
      <c r="U275" s="25">
        <f t="shared" si="147"/>
        <v>-1.5823099735286509E-2</v>
      </c>
      <c r="V275" s="25">
        <f t="shared" si="147"/>
        <v>-2.9102011633075034E-2</v>
      </c>
      <c r="W275" s="25">
        <f t="shared" si="147"/>
        <v>-5.0217286335103818E-4</v>
      </c>
      <c r="X275" s="25">
        <f t="shared" si="147"/>
        <v>-0.21636143484183443</v>
      </c>
    </row>
    <row r="276" spans="1:24" ht="15.75" thickTop="1" x14ac:dyDescent="0.25">
      <c r="P276" s="30"/>
      <c r="Q276" s="30"/>
    </row>
    <row r="277" spans="1:24" x14ac:dyDescent="0.25">
      <c r="A277" s="5" t="s">
        <v>318</v>
      </c>
      <c r="B277" s="8">
        <v>3575</v>
      </c>
      <c r="C277" s="8">
        <v>3588</v>
      </c>
      <c r="D277" s="8">
        <v>3650</v>
      </c>
      <c r="E277" s="8">
        <v>3178</v>
      </c>
      <c r="F277" s="8">
        <v>3190</v>
      </c>
      <c r="G277" s="8">
        <v>2927</v>
      </c>
      <c r="J277" s="25">
        <f t="shared" ref="J277:O280" si="149">+B277/B$60</f>
        <v>0.13498206531999246</v>
      </c>
      <c r="K277" s="25">
        <f>+C277/C$60</f>
        <v>0.13777743644881346</v>
      </c>
      <c r="L277" s="25">
        <f>+D277/D$60</f>
        <v>0.13939278212717204</v>
      </c>
      <c r="M277" s="25">
        <f>+E277/E$60</f>
        <v>0.12723705809344596</v>
      </c>
      <c r="N277" s="25">
        <f>+F277/F$60</f>
        <v>0.12144053601340034</v>
      </c>
      <c r="O277" s="25">
        <f>+G277/G$60</f>
        <v>0.11224881116735695</v>
      </c>
      <c r="P277" s="33"/>
      <c r="Q277" s="30"/>
      <c r="R277" s="25">
        <f t="shared" ref="R277:R280" si="150">RATE(5,0,-G277,B277)</f>
        <v>4.080810314999915E-2</v>
      </c>
      <c r="S277" s="25">
        <f t="shared" ref="S277:S280" si="151">AVERAGE(T277:X277)</f>
        <v>4.2800585816641215E-2</v>
      </c>
      <c r="T277" s="25">
        <f>(+B277-C277)/C277</f>
        <v>-3.6231884057971015E-3</v>
      </c>
      <c r="U277" s="25">
        <f>(+C277-D277)/D277</f>
        <v>-1.6986301369863014E-2</v>
      </c>
      <c r="V277" s="25">
        <f>(+D277-E277)/E277</f>
        <v>0.1485210824417873</v>
      </c>
      <c r="W277" s="25">
        <f>(+E277-F277)/F277</f>
        <v>-3.761755485893417E-3</v>
      </c>
      <c r="X277" s="25">
        <f>(+F277-G277)/G277</f>
        <v>8.9853091902972332E-2</v>
      </c>
    </row>
    <row r="278" spans="1:24" x14ac:dyDescent="0.25">
      <c r="A278" s="5" t="s">
        <v>319</v>
      </c>
      <c r="B278" s="2">
        <f>-B216</f>
        <v>-127</v>
      </c>
      <c r="C278" s="2">
        <f t="shared" ref="C278:G278" si="152">-C216</f>
        <v>-140</v>
      </c>
      <c r="D278" s="2">
        <f t="shared" si="152"/>
        <v>-119</v>
      </c>
      <c r="E278" s="2">
        <f t="shared" si="152"/>
        <v>-112</v>
      </c>
      <c r="F278" s="2">
        <f t="shared" si="152"/>
        <v>-109</v>
      </c>
      <c r="G278" s="2">
        <f t="shared" si="152"/>
        <v>-93</v>
      </c>
      <c r="J278" s="25">
        <f t="shared" si="149"/>
        <v>-4.7951670757032279E-3</v>
      </c>
      <c r="K278" s="25">
        <f t="shared" si="149"/>
        <v>-5.3759311880807927E-3</v>
      </c>
      <c r="L278" s="25">
        <f t="shared" si="149"/>
        <v>-4.544586595379034E-3</v>
      </c>
      <c r="M278" s="25">
        <f t="shared" si="149"/>
        <v>-4.4841253953637342E-3</v>
      </c>
      <c r="N278" s="25">
        <f t="shared" si="149"/>
        <v>-4.1495355565707324E-3</v>
      </c>
      <c r="O278" s="25">
        <f t="shared" si="149"/>
        <v>-3.5664979291302346E-3</v>
      </c>
      <c r="P278" s="33"/>
      <c r="R278" s="25">
        <f t="shared" si="150"/>
        <v>6.4300226266165716E-2</v>
      </c>
      <c r="S278" s="25">
        <f t="shared" si="151"/>
        <v>6.91358783821312E-2</v>
      </c>
      <c r="T278" s="25">
        <f t="shared" ref="T278:X280" si="153">(+B278-C278)/C278</f>
        <v>-9.285714285714286E-2</v>
      </c>
      <c r="U278" s="25">
        <f t="shared" si="153"/>
        <v>0.17647058823529413</v>
      </c>
      <c r="V278" s="25">
        <f t="shared" si="153"/>
        <v>6.25E-2</v>
      </c>
      <c r="W278" s="25">
        <f t="shared" si="153"/>
        <v>2.7522935779816515E-2</v>
      </c>
      <c r="X278" s="25">
        <f t="shared" si="153"/>
        <v>0.17204301075268819</v>
      </c>
    </row>
    <row r="279" spans="1:24" x14ac:dyDescent="0.25">
      <c r="A279" s="5" t="s">
        <v>320</v>
      </c>
      <c r="B279" s="2">
        <f>-B215</f>
        <v>-945</v>
      </c>
      <c r="C279" s="2">
        <f t="shared" ref="C279:G279" si="154">-C215</f>
        <v>-1039</v>
      </c>
      <c r="D279" s="2">
        <f t="shared" si="154"/>
        <v>-1070</v>
      </c>
      <c r="E279" s="2">
        <f t="shared" si="154"/>
        <v>-1100</v>
      </c>
      <c r="F279" s="2">
        <f t="shared" si="154"/>
        <v>-1140</v>
      </c>
      <c r="G279" s="2">
        <f t="shared" si="154"/>
        <v>-1115</v>
      </c>
      <c r="J279" s="25">
        <f t="shared" si="149"/>
        <v>-3.568057390976024E-2</v>
      </c>
      <c r="K279" s="25">
        <f t="shared" si="149"/>
        <v>-3.9897089317256738E-2</v>
      </c>
      <c r="L279" s="25">
        <f t="shared" si="149"/>
        <v>-4.0863089555088793E-2</v>
      </c>
      <c r="M279" s="25">
        <f t="shared" si="149"/>
        <v>-4.4040517275893823E-2</v>
      </c>
      <c r="N279" s="25">
        <f t="shared" si="149"/>
        <v>-4.3398812243033345E-2</v>
      </c>
      <c r="O279" s="25">
        <f t="shared" si="149"/>
        <v>-4.2759625709464642E-2</v>
      </c>
      <c r="P279" s="25"/>
      <c r="R279" s="25">
        <f t="shared" si="150"/>
        <v>-3.254363055898047E-2</v>
      </c>
      <c r="S279" s="25">
        <f t="shared" si="151"/>
        <v>-3.1876498367768777E-2</v>
      </c>
      <c r="T279" s="25">
        <f t="shared" si="153"/>
        <v>-9.0471607314725699E-2</v>
      </c>
      <c r="U279" s="25">
        <f t="shared" si="153"/>
        <v>-2.897196261682243E-2</v>
      </c>
      <c r="V279" s="25">
        <f t="shared" si="153"/>
        <v>-2.7272727272727271E-2</v>
      </c>
      <c r="W279" s="25">
        <f t="shared" si="153"/>
        <v>-3.5087719298245612E-2</v>
      </c>
      <c r="X279" s="25">
        <f t="shared" si="153"/>
        <v>2.2421524663677129E-2</v>
      </c>
    </row>
    <row r="280" spans="1:24" ht="15.75" thickBot="1" x14ac:dyDescent="0.3">
      <c r="A280" s="2" t="s">
        <v>519</v>
      </c>
      <c r="B280" s="74">
        <f>SUM(B277:B279)</f>
        <v>2503</v>
      </c>
      <c r="C280" s="74">
        <f t="shared" ref="C280:G280" si="155">SUM(C277:C279)</f>
        <v>2409</v>
      </c>
      <c r="D280" s="74">
        <f t="shared" si="155"/>
        <v>2461</v>
      </c>
      <c r="E280" s="74">
        <f t="shared" si="155"/>
        <v>1966</v>
      </c>
      <c r="F280" s="74">
        <f t="shared" si="155"/>
        <v>1941</v>
      </c>
      <c r="G280" s="74">
        <f t="shared" si="155"/>
        <v>1719</v>
      </c>
      <c r="H280" s="19"/>
      <c r="I280" s="19"/>
      <c r="J280" s="86">
        <f t="shared" si="149"/>
        <v>9.4506324334528977E-2</v>
      </c>
      <c r="K280" s="86">
        <f t="shared" si="149"/>
        <v>9.2504415943475929E-2</v>
      </c>
      <c r="L280" s="86">
        <f t="shared" si="149"/>
        <v>9.3985105976704217E-2</v>
      </c>
      <c r="M280" s="86">
        <f t="shared" si="149"/>
        <v>7.8712415422188417E-2</v>
      </c>
      <c r="N280" s="86">
        <f t="shared" si="149"/>
        <v>7.3892188213796256E-2</v>
      </c>
      <c r="O280" s="86">
        <f t="shared" si="149"/>
        <v>6.5922687528762083E-2</v>
      </c>
      <c r="P280" s="83"/>
      <c r="Q280" s="19"/>
      <c r="R280" s="86">
        <f t="shared" si="150"/>
        <v>7.8045260485801612E-2</v>
      </c>
      <c r="S280" s="86">
        <f t="shared" si="151"/>
        <v>8.2339158644776006E-2</v>
      </c>
      <c r="T280" s="86">
        <f t="shared" si="153"/>
        <v>3.9020340390203405E-2</v>
      </c>
      <c r="U280" s="86">
        <f t="shared" si="153"/>
        <v>-2.1129622104835433E-2</v>
      </c>
      <c r="V280" s="86">
        <f t="shared" si="153"/>
        <v>0.25178026449643948</v>
      </c>
      <c r="W280" s="28">
        <f t="shared" si="153"/>
        <v>1.287995878413189E-2</v>
      </c>
      <c r="X280" s="28">
        <f t="shared" si="153"/>
        <v>0.12914485165794065</v>
      </c>
    </row>
    <row r="281" spans="1:24" ht="15.75" thickTop="1" x14ac:dyDescent="0.25"/>
  </sheetData>
  <pageMargins left="0.7" right="0.7" top="0.75" bottom="0.75" header="0.3" footer="0.3"/>
  <pageSetup orientation="portrait" r:id="rId1"/>
  <ignoredErrors>
    <ignoredError sqref="H16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4993-64A0-4BC6-838B-F2ED5650B628}">
  <dimension ref="A1:H317"/>
  <sheetViews>
    <sheetView zoomScale="90" zoomScaleNormal="90" workbookViewId="0">
      <selection activeCell="H41" sqref="H41"/>
    </sheetView>
  </sheetViews>
  <sheetFormatPr defaultColWidth="9.140625" defaultRowHeight="15" x14ac:dyDescent="0.25"/>
  <cols>
    <col min="1" max="1" width="40.7109375" style="19" customWidth="1"/>
    <col min="2" max="8" width="10.7109375" style="19" customWidth="1"/>
    <col min="9" max="16384" width="9.140625" style="19"/>
  </cols>
  <sheetData>
    <row r="1" spans="1:8" s="53" customFormat="1" x14ac:dyDescent="0.25">
      <c r="A1" s="66" t="s">
        <v>0</v>
      </c>
      <c r="B1" s="66" t="s">
        <v>261</v>
      </c>
      <c r="C1" s="66"/>
      <c r="D1" s="66"/>
      <c r="E1" s="66"/>
      <c r="F1" s="66"/>
      <c r="G1" s="66"/>
    </row>
    <row r="2" spans="1:8" s="53" customFormat="1" x14ac:dyDescent="0.25">
      <c r="A2" s="66" t="s">
        <v>61</v>
      </c>
      <c r="B2" s="66"/>
      <c r="C2" s="66"/>
      <c r="D2" s="66"/>
      <c r="E2" s="66"/>
      <c r="F2" s="66"/>
      <c r="G2" s="66"/>
    </row>
    <row r="3" spans="1:8" s="53" customFormat="1" x14ac:dyDescent="0.25">
      <c r="A3" s="66" t="s">
        <v>64</v>
      </c>
      <c r="B3" s="66"/>
      <c r="C3" s="66"/>
      <c r="D3" s="66"/>
      <c r="E3" s="66"/>
      <c r="F3" s="66" t="s">
        <v>262</v>
      </c>
      <c r="G3" s="72" t="s">
        <v>66</v>
      </c>
      <c r="H3" s="65"/>
    </row>
    <row r="4" spans="1:8" s="53" customFormat="1" ht="15.75" thickBot="1" x14ac:dyDescent="0.3">
      <c r="A4" s="67" t="s">
        <v>520</v>
      </c>
      <c r="B4" s="68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77"/>
    </row>
    <row r="5" spans="1:8" x14ac:dyDescent="0.25">
      <c r="A5" s="19" t="s">
        <v>77</v>
      </c>
    </row>
    <row r="6" spans="1:8" x14ac:dyDescent="0.25">
      <c r="A6" s="54" t="s">
        <v>78</v>
      </c>
      <c r="B6" s="60">
        <v>1040</v>
      </c>
      <c r="C6" s="60">
        <v>3445</v>
      </c>
      <c r="D6" s="60">
        <v>3417</v>
      </c>
      <c r="E6" s="60">
        <v>2279</v>
      </c>
      <c r="F6" s="60">
        <v>1130</v>
      </c>
      <c r="G6" s="60">
        <v>1629</v>
      </c>
      <c r="H6" s="60"/>
    </row>
    <row r="7" spans="1:8" x14ac:dyDescent="0.25">
      <c r="A7" s="54" t="s">
        <v>263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</row>
    <row r="8" spans="1:8" x14ac:dyDescent="0.25">
      <c r="A8" s="54" t="s">
        <v>18</v>
      </c>
      <c r="B8" s="19">
        <v>2120</v>
      </c>
      <c r="C8" s="19">
        <v>1957</v>
      </c>
      <c r="D8" s="19">
        <v>2063</v>
      </c>
      <c r="E8" s="19">
        <v>1973</v>
      </c>
      <c r="F8" s="19">
        <v>2129</v>
      </c>
      <c r="G8" s="19">
        <v>921</v>
      </c>
    </row>
    <row r="9" spans="1:8" x14ac:dyDescent="0.25">
      <c r="A9" s="54" t="s">
        <v>19</v>
      </c>
      <c r="B9" s="19">
        <v>3651</v>
      </c>
      <c r="C9" s="19">
        <v>2729</v>
      </c>
      <c r="D9" s="19">
        <v>2554</v>
      </c>
      <c r="E9" s="19">
        <v>2721</v>
      </c>
      <c r="F9" s="19">
        <v>2667</v>
      </c>
      <c r="G9" s="19">
        <v>2760</v>
      </c>
    </row>
    <row r="10" spans="1:8" x14ac:dyDescent="0.25">
      <c r="A10" s="54" t="s">
        <v>20</v>
      </c>
      <c r="B10" s="19">
        <f>+B276</f>
        <v>1086</v>
      </c>
      <c r="C10" s="19">
        <f t="shared" ref="C10:G10" si="0">+C276</f>
        <v>863</v>
      </c>
      <c r="D10" s="19">
        <f t="shared" si="0"/>
        <v>2788</v>
      </c>
      <c r="E10" s="19">
        <f t="shared" si="0"/>
        <v>1124</v>
      </c>
      <c r="F10" s="19">
        <f t="shared" si="0"/>
        <v>3149</v>
      </c>
      <c r="G10" s="19">
        <f t="shared" si="0"/>
        <v>1891</v>
      </c>
    </row>
    <row r="11" spans="1:8" x14ac:dyDescent="0.25">
      <c r="A11" s="19" t="s">
        <v>21</v>
      </c>
      <c r="B11" s="57">
        <f t="shared" ref="B11:G11" si="1">SUM(B6:B10)</f>
        <v>7897</v>
      </c>
      <c r="C11" s="57">
        <f t="shared" si="1"/>
        <v>8994</v>
      </c>
      <c r="D11" s="57">
        <f t="shared" si="1"/>
        <v>10822</v>
      </c>
      <c r="E11" s="57">
        <f t="shared" si="1"/>
        <v>8097</v>
      </c>
      <c r="F11" s="57">
        <f t="shared" si="1"/>
        <v>9075</v>
      </c>
      <c r="G11" s="57">
        <f t="shared" si="1"/>
        <v>7201</v>
      </c>
      <c r="H11" s="80"/>
    </row>
    <row r="12" spans="1:8" x14ac:dyDescent="0.25">
      <c r="A12" s="56" t="s">
        <v>187</v>
      </c>
      <c r="B12" s="80">
        <f>+B254</f>
        <v>200</v>
      </c>
      <c r="C12" s="80">
        <f t="shared" ref="C12:G12" si="2">+C254</f>
        <v>207</v>
      </c>
      <c r="D12" s="80">
        <f t="shared" si="2"/>
        <v>219</v>
      </c>
      <c r="E12" s="80">
        <f t="shared" si="2"/>
        <v>210</v>
      </c>
      <c r="F12" s="80">
        <f t="shared" si="2"/>
        <v>218</v>
      </c>
      <c r="G12" s="80">
        <f t="shared" si="2"/>
        <v>250</v>
      </c>
      <c r="H12" s="80"/>
    </row>
    <row r="13" spans="1:8" x14ac:dyDescent="0.25">
      <c r="A13" s="56" t="s">
        <v>188</v>
      </c>
      <c r="B13" s="80">
        <f t="shared" ref="B13:G16" si="3">+B255</f>
        <v>1161</v>
      </c>
      <c r="C13" s="80">
        <f t="shared" si="3"/>
        <v>1002</v>
      </c>
      <c r="D13" s="80">
        <f t="shared" si="3"/>
        <v>792</v>
      </c>
      <c r="E13" s="80">
        <f t="shared" si="3"/>
        <v>1033</v>
      </c>
      <c r="F13" s="80">
        <f t="shared" si="3"/>
        <v>1165</v>
      </c>
      <c r="G13" s="80">
        <f t="shared" si="3"/>
        <v>1345</v>
      </c>
      <c r="H13" s="80"/>
    </row>
    <row r="14" spans="1:8" x14ac:dyDescent="0.25">
      <c r="A14" s="56" t="s">
        <v>189</v>
      </c>
      <c r="B14" s="63">
        <f t="shared" si="3"/>
        <v>9591</v>
      </c>
      <c r="C14" s="63">
        <f t="shared" si="3"/>
        <v>9465</v>
      </c>
      <c r="D14" s="63">
        <f t="shared" si="3"/>
        <v>9428</v>
      </c>
      <c r="E14" s="63">
        <f t="shared" si="3"/>
        <v>8999</v>
      </c>
      <c r="F14" s="63">
        <f t="shared" si="3"/>
        <v>8279</v>
      </c>
      <c r="G14" s="63">
        <f t="shared" si="3"/>
        <v>7555</v>
      </c>
      <c r="H14" s="80"/>
    </row>
    <row r="15" spans="1:8" x14ac:dyDescent="0.25">
      <c r="A15" s="56" t="s">
        <v>264</v>
      </c>
      <c r="B15" s="80">
        <f t="shared" si="3"/>
        <v>10952</v>
      </c>
      <c r="C15" s="80">
        <f t="shared" si="3"/>
        <v>10674</v>
      </c>
      <c r="D15" s="80">
        <f t="shared" si="3"/>
        <v>10439</v>
      </c>
      <c r="E15" s="80">
        <f t="shared" si="3"/>
        <v>10242</v>
      </c>
      <c r="F15" s="80">
        <f t="shared" si="3"/>
        <v>9662</v>
      </c>
      <c r="G15" s="80">
        <f t="shared" si="3"/>
        <v>9150</v>
      </c>
      <c r="H15" s="80"/>
    </row>
    <row r="16" spans="1:8" x14ac:dyDescent="0.25">
      <c r="A16" s="56" t="s">
        <v>191</v>
      </c>
      <c r="B16" s="63">
        <f t="shared" si="3"/>
        <v>-4212</v>
      </c>
      <c r="C16" s="63">
        <f t="shared" si="3"/>
        <v>-3868</v>
      </c>
      <c r="D16" s="63">
        <f t="shared" si="3"/>
        <v>-3563</v>
      </c>
      <c r="E16" s="63">
        <f t="shared" si="3"/>
        <v>-3187</v>
      </c>
      <c r="F16" s="63">
        <f t="shared" si="3"/>
        <v>-2584</v>
      </c>
      <c r="G16" s="63">
        <f t="shared" si="3"/>
        <v>-2089</v>
      </c>
      <c r="H16" s="80"/>
    </row>
    <row r="17" spans="1:8" x14ac:dyDescent="0.25">
      <c r="A17" s="54" t="s">
        <v>82</v>
      </c>
      <c r="B17" s="19">
        <v>6740</v>
      </c>
      <c r="C17" s="19">
        <v>6806</v>
      </c>
      <c r="D17" s="19">
        <v>6876</v>
      </c>
      <c r="E17" s="19">
        <v>7055</v>
      </c>
      <c r="F17" s="19">
        <v>7078</v>
      </c>
      <c r="G17" s="19">
        <v>7061</v>
      </c>
    </row>
    <row r="18" spans="1:8" x14ac:dyDescent="0.25">
      <c r="A18" s="54" t="s">
        <v>265</v>
      </c>
      <c r="B18" s="19">
        <f>+B263</f>
        <v>668</v>
      </c>
      <c r="C18" s="19">
        <f t="shared" ref="C18:G18" si="4">+C263</f>
        <v>569</v>
      </c>
      <c r="D18" s="19">
        <f t="shared" si="4"/>
        <v>562</v>
      </c>
      <c r="E18" s="19">
        <f t="shared" si="4"/>
        <v>542</v>
      </c>
      <c r="F18" s="19">
        <f t="shared" si="4"/>
        <v>0</v>
      </c>
      <c r="G18" s="19">
        <f t="shared" si="4"/>
        <v>0</v>
      </c>
    </row>
    <row r="19" spans="1:8" x14ac:dyDescent="0.25">
      <c r="A19" s="54" t="s">
        <v>266</v>
      </c>
      <c r="B19" s="19">
        <f>+B280</f>
        <v>73482</v>
      </c>
      <c r="C19" s="19">
        <f t="shared" ref="C19:G19" si="5">+C280</f>
        <v>74838</v>
      </c>
      <c r="D19" s="19">
        <f t="shared" si="5"/>
        <v>79756</v>
      </c>
      <c r="E19" s="19">
        <f t="shared" si="5"/>
        <v>84198</v>
      </c>
      <c r="F19" s="19">
        <f t="shared" si="5"/>
        <v>85971</v>
      </c>
      <c r="G19" s="19">
        <f t="shared" si="5"/>
        <v>104257</v>
      </c>
    </row>
    <row r="20" spans="1:8" x14ac:dyDescent="0.25">
      <c r="A20" s="54" t="s">
        <v>25</v>
      </c>
      <c r="B20" s="19">
        <f>+B284</f>
        <v>1726</v>
      </c>
      <c r="C20" s="19">
        <f t="shared" ref="C20:G20" si="6">+C284</f>
        <v>2187</v>
      </c>
      <c r="D20" s="19">
        <f t="shared" si="6"/>
        <v>1814</v>
      </c>
      <c r="E20" s="19">
        <f t="shared" si="6"/>
        <v>1558</v>
      </c>
      <c r="F20" s="19">
        <f t="shared" si="6"/>
        <v>1337</v>
      </c>
      <c r="G20" s="19">
        <f t="shared" si="6"/>
        <v>1573</v>
      </c>
    </row>
    <row r="21" spans="1:8" ht="15.75" thickBot="1" x14ac:dyDescent="0.3">
      <c r="A21" s="19" t="s">
        <v>84</v>
      </c>
      <c r="B21" s="74">
        <f t="shared" ref="B21:G21" si="7">+B11+SUM(B17:B20)</f>
        <v>90513</v>
      </c>
      <c r="C21" s="74">
        <f t="shared" si="7"/>
        <v>93394</v>
      </c>
      <c r="D21" s="74">
        <f t="shared" si="7"/>
        <v>99830</v>
      </c>
      <c r="E21" s="74">
        <f t="shared" si="7"/>
        <v>101450</v>
      </c>
      <c r="F21" s="74">
        <f t="shared" si="7"/>
        <v>103461</v>
      </c>
      <c r="G21" s="74">
        <f t="shared" si="7"/>
        <v>120092</v>
      </c>
      <c r="H21" s="85"/>
    </row>
    <row r="22" spans="1:8" ht="15.75" thickTop="1" x14ac:dyDescent="0.25">
      <c r="A22" s="19" t="s">
        <v>85</v>
      </c>
    </row>
    <row r="23" spans="1:8" x14ac:dyDescent="0.25">
      <c r="A23" s="54" t="s">
        <v>267</v>
      </c>
      <c r="B23" s="60">
        <f>+B288</f>
        <v>837</v>
      </c>
      <c r="C23" s="60">
        <f t="shared" ref="C23:G23" si="8">+C288</f>
        <v>754</v>
      </c>
      <c r="D23" s="60">
        <f t="shared" si="8"/>
        <v>236</v>
      </c>
      <c r="E23" s="60">
        <f t="shared" si="8"/>
        <v>1028</v>
      </c>
      <c r="F23" s="60">
        <f t="shared" si="8"/>
        <v>398</v>
      </c>
      <c r="G23" s="60">
        <f t="shared" si="8"/>
        <v>3195</v>
      </c>
      <c r="H23" s="60"/>
    </row>
    <row r="24" spans="1:8" x14ac:dyDescent="0.25">
      <c r="A24" s="54" t="s">
        <v>88</v>
      </c>
      <c r="B24" s="19">
        <v>4848</v>
      </c>
      <c r="C24" s="19">
        <v>4753</v>
      </c>
      <c r="D24" s="19">
        <v>4304</v>
      </c>
      <c r="E24" s="19">
        <v>4003</v>
      </c>
      <c r="F24" s="19">
        <v>4153</v>
      </c>
      <c r="G24" s="19">
        <v>4362</v>
      </c>
    </row>
    <row r="25" spans="1:8" x14ac:dyDescent="0.25">
      <c r="A25" s="54" t="s">
        <v>268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</row>
    <row r="26" spans="1:8" x14ac:dyDescent="0.25">
      <c r="A26" s="54" t="s">
        <v>269</v>
      </c>
      <c r="B26" s="19">
        <f>+B264</f>
        <v>125</v>
      </c>
      <c r="C26" s="19">
        <f t="shared" ref="C26:G26" si="9">+C264</f>
        <v>133</v>
      </c>
      <c r="D26" s="19">
        <f t="shared" si="9"/>
        <v>135</v>
      </c>
      <c r="E26" s="19">
        <f t="shared" si="9"/>
        <v>147</v>
      </c>
      <c r="F26" s="19">
        <f t="shared" si="9"/>
        <v>0</v>
      </c>
      <c r="G26" s="19">
        <f t="shared" si="9"/>
        <v>0</v>
      </c>
    </row>
    <row r="27" spans="1:8" x14ac:dyDescent="0.25">
      <c r="A27" s="54" t="s">
        <v>270</v>
      </c>
      <c r="B27" s="19">
        <f>+B296</f>
        <v>3218</v>
      </c>
      <c r="C27" s="19">
        <f t="shared" ref="C27:G27" si="10">+C296</f>
        <v>3424</v>
      </c>
      <c r="D27" s="19">
        <f t="shared" si="10"/>
        <v>3386</v>
      </c>
      <c r="E27" s="19">
        <f t="shared" si="10"/>
        <v>2697</v>
      </c>
      <c r="F27" s="19">
        <f t="shared" si="10"/>
        <v>2952</v>
      </c>
      <c r="G27" s="19">
        <f t="shared" si="10"/>
        <v>2597</v>
      </c>
    </row>
    <row r="28" spans="1:8" x14ac:dyDescent="0.25">
      <c r="A28" s="19" t="s">
        <v>30</v>
      </c>
      <c r="B28" s="57">
        <f t="shared" ref="B28:G28" si="11">SUM(B23:B27)</f>
        <v>9028</v>
      </c>
      <c r="C28" s="57">
        <f t="shared" si="11"/>
        <v>9064</v>
      </c>
      <c r="D28" s="57">
        <f t="shared" si="11"/>
        <v>8061</v>
      </c>
      <c r="E28" s="57">
        <f t="shared" si="11"/>
        <v>7875</v>
      </c>
      <c r="F28" s="57">
        <f t="shared" si="11"/>
        <v>7503</v>
      </c>
      <c r="G28" s="57">
        <f t="shared" si="11"/>
        <v>10154</v>
      </c>
      <c r="H28" s="80"/>
    </row>
    <row r="29" spans="1:8" x14ac:dyDescent="0.25">
      <c r="A29" s="54" t="s">
        <v>31</v>
      </c>
      <c r="B29" s="19">
        <v>19233</v>
      </c>
      <c r="C29" s="19">
        <v>21061</v>
      </c>
      <c r="D29" s="19">
        <v>28070</v>
      </c>
      <c r="E29" s="19">
        <v>28216</v>
      </c>
      <c r="F29" s="19">
        <v>30770</v>
      </c>
      <c r="G29" s="19">
        <v>28308</v>
      </c>
    </row>
    <row r="30" spans="1:8" x14ac:dyDescent="0.25">
      <c r="A30" s="54" t="s">
        <v>271</v>
      </c>
      <c r="B30" s="19">
        <f>+B265</f>
        <v>585</v>
      </c>
      <c r="C30" s="19">
        <f t="shared" ref="C30:G30" si="12">+C265</f>
        <v>484</v>
      </c>
      <c r="D30" s="19">
        <f t="shared" si="12"/>
        <v>475</v>
      </c>
      <c r="E30" s="19">
        <f t="shared" si="12"/>
        <v>454</v>
      </c>
      <c r="F30" s="19">
        <f t="shared" si="12"/>
        <v>0</v>
      </c>
      <c r="G30" s="19">
        <f t="shared" si="12"/>
        <v>0</v>
      </c>
    </row>
    <row r="31" spans="1:8" x14ac:dyDescent="0.25">
      <c r="A31" s="54" t="s">
        <v>272</v>
      </c>
      <c r="B31" s="19">
        <f>+B303</f>
        <v>12797</v>
      </c>
      <c r="C31" s="19">
        <f t="shared" ref="C31:G31" si="13">+C303</f>
        <v>13333</v>
      </c>
      <c r="D31" s="19">
        <f t="shared" si="13"/>
        <v>12981</v>
      </c>
      <c r="E31" s="19">
        <f t="shared" si="13"/>
        <v>13156</v>
      </c>
      <c r="F31" s="19">
        <f t="shared" si="13"/>
        <v>13410</v>
      </c>
      <c r="G31" s="19">
        <f t="shared" si="13"/>
        <v>15554</v>
      </c>
    </row>
    <row r="32" spans="1:8" x14ac:dyDescent="0.25">
      <c r="A32" s="19" t="s">
        <v>97</v>
      </c>
      <c r="B32" s="57">
        <f t="shared" ref="B32:G32" si="14">SUM(B28:B31)</f>
        <v>41643</v>
      </c>
      <c r="C32" s="57">
        <f t="shared" si="14"/>
        <v>43942</v>
      </c>
      <c r="D32" s="57">
        <f t="shared" si="14"/>
        <v>49587</v>
      </c>
      <c r="E32" s="57">
        <f t="shared" si="14"/>
        <v>49701</v>
      </c>
      <c r="F32" s="57">
        <f t="shared" si="14"/>
        <v>51683</v>
      </c>
      <c r="G32" s="57">
        <f t="shared" si="14"/>
        <v>54016</v>
      </c>
      <c r="H32" s="80"/>
    </row>
    <row r="33" spans="1:8" x14ac:dyDescent="0.25">
      <c r="A33" s="19" t="s">
        <v>98</v>
      </c>
      <c r="B33" s="19">
        <v>40</v>
      </c>
      <c r="C33" s="19">
        <v>4</v>
      </c>
      <c r="D33" s="19">
        <v>0</v>
      </c>
      <c r="E33" s="19">
        <v>0</v>
      </c>
      <c r="F33" s="19">
        <v>3</v>
      </c>
      <c r="G33" s="19">
        <v>6</v>
      </c>
    </row>
    <row r="34" spans="1:8" x14ac:dyDescent="0.25">
      <c r="A34" s="19" t="s">
        <v>106</v>
      </c>
      <c r="B34" s="80">
        <f>+B311</f>
        <v>48830</v>
      </c>
      <c r="C34" s="80">
        <f t="shared" ref="C34:G34" si="15">+C311</f>
        <v>49448</v>
      </c>
      <c r="D34" s="80">
        <f t="shared" si="15"/>
        <v>50243</v>
      </c>
      <c r="E34" s="80">
        <f t="shared" si="15"/>
        <v>51749</v>
      </c>
      <c r="F34" s="80">
        <f t="shared" si="15"/>
        <v>51775</v>
      </c>
      <c r="G34" s="80">
        <f t="shared" si="15"/>
        <v>66070</v>
      </c>
      <c r="H34" s="80"/>
    </row>
    <row r="35" spans="1:8" ht="15.75" thickBot="1" x14ac:dyDescent="0.3">
      <c r="A35" s="19" t="s">
        <v>107</v>
      </c>
      <c r="B35" s="74">
        <f>+B34+B33+B32</f>
        <v>90513</v>
      </c>
      <c r="C35" s="74">
        <f t="shared" ref="C35:G35" si="16">+C34+C33+C32</f>
        <v>93394</v>
      </c>
      <c r="D35" s="74">
        <f t="shared" si="16"/>
        <v>99830</v>
      </c>
      <c r="E35" s="74">
        <f t="shared" si="16"/>
        <v>101450</v>
      </c>
      <c r="F35" s="74">
        <f t="shared" si="16"/>
        <v>103461</v>
      </c>
      <c r="G35" s="74">
        <f t="shared" si="16"/>
        <v>120092</v>
      </c>
      <c r="H35" s="85"/>
    </row>
    <row r="36" spans="1:8" ht="15.75" thickTop="1" x14ac:dyDescent="0.25">
      <c r="B36" s="19">
        <f>+B35-B21</f>
        <v>0</v>
      </c>
      <c r="C36" s="19">
        <f t="shared" ref="C36:G36" si="17">+C35-C21</f>
        <v>0</v>
      </c>
      <c r="D36" s="19">
        <f t="shared" si="17"/>
        <v>0</v>
      </c>
      <c r="E36" s="19">
        <f t="shared" si="17"/>
        <v>0</v>
      </c>
      <c r="F36" s="19">
        <f t="shared" si="17"/>
        <v>0</v>
      </c>
      <c r="G36" s="19">
        <f t="shared" si="17"/>
        <v>0</v>
      </c>
    </row>
    <row r="37" spans="1:8" x14ac:dyDescent="0.25">
      <c r="A37" s="19" t="s">
        <v>108</v>
      </c>
      <c r="B37" s="19">
        <v>1243</v>
      </c>
      <c r="C37" s="19">
        <v>1235</v>
      </c>
      <c r="D37" s="19">
        <v>1228</v>
      </c>
      <c r="E37" s="19">
        <v>1224</v>
      </c>
      <c r="F37" s="19">
        <v>1224</v>
      </c>
      <c r="G37" s="19">
        <v>1221</v>
      </c>
    </row>
    <row r="38" spans="1:8" x14ac:dyDescent="0.25">
      <c r="A38" s="19" t="s">
        <v>109</v>
      </c>
      <c r="B38" s="19">
        <v>-18</v>
      </c>
      <c r="C38" s="19">
        <v>-11</v>
      </c>
      <c r="D38" s="19">
        <v>-5</v>
      </c>
      <c r="E38" s="19">
        <v>-3</v>
      </c>
      <c r="F38" s="19">
        <v>-4</v>
      </c>
      <c r="G38" s="19">
        <v>-2</v>
      </c>
    </row>
    <row r="39" spans="1:8" ht="15.75" thickBot="1" x14ac:dyDescent="0.3">
      <c r="A39" s="19" t="s">
        <v>110</v>
      </c>
      <c r="B39" s="87">
        <f>+B37+B38</f>
        <v>1225</v>
      </c>
      <c r="C39" s="87">
        <f t="shared" ref="C39:G39" si="18">+C37+C38</f>
        <v>1224</v>
      </c>
      <c r="D39" s="87">
        <f t="shared" si="18"/>
        <v>1223</v>
      </c>
      <c r="E39" s="87">
        <f t="shared" si="18"/>
        <v>1221</v>
      </c>
      <c r="F39" s="87">
        <f t="shared" si="18"/>
        <v>1220</v>
      </c>
      <c r="G39" s="87">
        <f t="shared" si="18"/>
        <v>1219</v>
      </c>
      <c r="H39" s="80"/>
    </row>
    <row r="40" spans="1:8" ht="15.75" thickTop="1" x14ac:dyDescent="0.25">
      <c r="A40" s="19" t="s">
        <v>273</v>
      </c>
      <c r="B40" s="24">
        <v>38.130000000000003</v>
      </c>
      <c r="C40" s="24">
        <v>39.22</v>
      </c>
      <c r="D40" s="24">
        <v>36.380000000000003</v>
      </c>
      <c r="E40" s="24">
        <v>24.77</v>
      </c>
      <c r="F40" s="24">
        <v>33.19</v>
      </c>
      <c r="G40" s="24">
        <v>67.14</v>
      </c>
      <c r="H40" s="24"/>
    </row>
    <row r="41" spans="1:8" x14ac:dyDescent="0.25">
      <c r="A41" s="19" t="s">
        <v>111</v>
      </c>
      <c r="B41" s="60">
        <f>+B39*B40</f>
        <v>46709.25</v>
      </c>
      <c r="C41" s="60">
        <f t="shared" ref="C41:G41" si="19">+C39*C40</f>
        <v>48005.279999999999</v>
      </c>
      <c r="D41" s="60">
        <f t="shared" si="19"/>
        <v>44492.740000000005</v>
      </c>
      <c r="E41" s="60">
        <f t="shared" si="19"/>
        <v>30244.17</v>
      </c>
      <c r="F41" s="60">
        <f t="shared" si="19"/>
        <v>40491.799999999996</v>
      </c>
      <c r="G41" s="60">
        <f t="shared" si="19"/>
        <v>81843.66</v>
      </c>
      <c r="H41" s="60"/>
    </row>
    <row r="43" spans="1:8" s="53" customFormat="1" x14ac:dyDescent="0.25">
      <c r="A43" s="66" t="str">
        <f>+A1</f>
        <v>Kraft Heinz Company</v>
      </c>
      <c r="B43" s="66" t="s">
        <v>261</v>
      </c>
      <c r="C43" s="66"/>
      <c r="D43" s="66"/>
      <c r="E43" s="66"/>
      <c r="F43" s="66"/>
      <c r="G43" s="66"/>
      <c r="H43" s="66"/>
    </row>
    <row r="44" spans="1:8" s="53" customFormat="1" x14ac:dyDescent="0.25">
      <c r="A44" s="66" t="s">
        <v>274</v>
      </c>
      <c r="B44" s="66"/>
      <c r="C44" s="66"/>
      <c r="D44" s="66"/>
      <c r="E44" s="66"/>
      <c r="F44" s="66"/>
      <c r="G44" s="66"/>
      <c r="H44" s="66"/>
    </row>
    <row r="45" spans="1:8" s="53" customFormat="1" x14ac:dyDescent="0.25">
      <c r="A45" s="66" t="str">
        <f>+A3</f>
        <v>in millions except per share data</v>
      </c>
      <c r="B45" s="66"/>
      <c r="C45" s="66"/>
      <c r="D45" s="66"/>
      <c r="E45" s="66"/>
      <c r="F45" s="66" t="s">
        <v>262</v>
      </c>
      <c r="G45" s="72" t="s">
        <v>66</v>
      </c>
      <c r="H45" s="67"/>
    </row>
    <row r="46" spans="1:8" s="53" customFormat="1" ht="15.75" thickBot="1" x14ac:dyDescent="0.3">
      <c r="A46" s="67" t="str">
        <f>+A4</f>
        <v>Fiscal year ended 12/31:</v>
      </c>
      <c r="B46" s="69">
        <v>2022</v>
      </c>
      <c r="C46" s="69">
        <v>2021</v>
      </c>
      <c r="D46" s="69">
        <v>2020</v>
      </c>
      <c r="E46" s="69">
        <v>2019</v>
      </c>
      <c r="F46" s="69">
        <v>2018</v>
      </c>
      <c r="G46" s="69">
        <v>2017</v>
      </c>
      <c r="H46" s="79" t="s">
        <v>275</v>
      </c>
    </row>
    <row r="47" spans="1:8" x14ac:dyDescent="0.25">
      <c r="A47" s="19" t="s">
        <v>276</v>
      </c>
      <c r="B47" s="60">
        <f>+'As Reported'!B68</f>
        <v>2368</v>
      </c>
      <c r="C47" s="60">
        <f>+'As Reported'!C68</f>
        <v>1024</v>
      </c>
      <c r="D47" s="60">
        <f>+'As Reported'!D68</f>
        <v>361</v>
      </c>
      <c r="E47" s="60">
        <f>+'As Reported'!E68</f>
        <v>1933</v>
      </c>
      <c r="F47" s="60">
        <f>+'As Reported'!F68</f>
        <v>-10254</v>
      </c>
      <c r="G47" s="60">
        <f>+'As Reported'!G68</f>
        <v>10932</v>
      </c>
      <c r="H47" s="60">
        <f>SUM(B47:G47)</f>
        <v>6364</v>
      </c>
    </row>
    <row r="48" spans="1:8" x14ac:dyDescent="0.25">
      <c r="A48" s="19" t="s">
        <v>277</v>
      </c>
      <c r="B48" s="19">
        <v>-993</v>
      </c>
      <c r="C48" s="19">
        <v>149</v>
      </c>
      <c r="D48" s="19">
        <v>-78</v>
      </c>
      <c r="E48" s="19">
        <v>-72</v>
      </c>
      <c r="F48" s="19">
        <v>-903</v>
      </c>
      <c r="G48" s="19">
        <v>581</v>
      </c>
      <c r="H48" s="63">
        <f>SUM(B48:G48)</f>
        <v>-1316</v>
      </c>
    </row>
    <row r="49" spans="1:8" x14ac:dyDescent="0.25">
      <c r="A49" s="19" t="s">
        <v>278</v>
      </c>
      <c r="B49" s="57">
        <f t="shared" ref="B49:G49" si="20">SUM(B47:B48)</f>
        <v>1375</v>
      </c>
      <c r="C49" s="57">
        <f t="shared" si="20"/>
        <v>1173</v>
      </c>
      <c r="D49" s="57">
        <f t="shared" si="20"/>
        <v>283</v>
      </c>
      <c r="E49" s="57">
        <f t="shared" si="20"/>
        <v>1861</v>
      </c>
      <c r="F49" s="57">
        <f t="shared" si="20"/>
        <v>-11157</v>
      </c>
      <c r="G49" s="57">
        <f t="shared" si="20"/>
        <v>11513</v>
      </c>
      <c r="H49" s="19">
        <f t="shared" ref="H49:H52" si="21">SUM(B49:G49)</f>
        <v>5048</v>
      </c>
    </row>
    <row r="50" spans="1:8" x14ac:dyDescent="0.25">
      <c r="A50" s="19" t="s">
        <v>55</v>
      </c>
      <c r="B50" s="19">
        <v>-1972</v>
      </c>
      <c r="C50" s="19">
        <v>-1979</v>
      </c>
      <c r="D50" s="19">
        <v>-1973</v>
      </c>
      <c r="E50" s="19">
        <v>-1959</v>
      </c>
      <c r="F50" s="19">
        <v>-3048</v>
      </c>
      <c r="G50" s="19">
        <v>-2988</v>
      </c>
      <c r="H50" s="19">
        <f t="shared" si="21"/>
        <v>-13919</v>
      </c>
    </row>
    <row r="51" spans="1:8" x14ac:dyDescent="0.25">
      <c r="A51" s="19" t="s">
        <v>279</v>
      </c>
      <c r="B51" s="63">
        <f t="shared" ref="B51:G51" si="22">+B52-SUM(B49:B50)</f>
        <v>-21</v>
      </c>
      <c r="C51" s="63">
        <f t="shared" si="22"/>
        <v>11</v>
      </c>
      <c r="D51" s="63">
        <f t="shared" si="22"/>
        <v>184</v>
      </c>
      <c r="E51" s="63">
        <f t="shared" si="22"/>
        <v>72</v>
      </c>
      <c r="F51" s="63">
        <f t="shared" si="22"/>
        <v>-90</v>
      </c>
      <c r="G51" s="63">
        <f t="shared" si="22"/>
        <v>85</v>
      </c>
      <c r="H51" s="63">
        <f t="shared" si="21"/>
        <v>241</v>
      </c>
    </row>
    <row r="52" spans="1:8" x14ac:dyDescent="0.25">
      <c r="A52" s="19" t="s">
        <v>280</v>
      </c>
      <c r="B52" s="19">
        <f>+B54-B53</f>
        <v>-618</v>
      </c>
      <c r="C52" s="19">
        <f t="shared" ref="C52:G52" si="23">+C54-C53</f>
        <v>-795</v>
      </c>
      <c r="D52" s="19">
        <f t="shared" si="23"/>
        <v>-1506</v>
      </c>
      <c r="E52" s="19">
        <f t="shared" si="23"/>
        <v>-26</v>
      </c>
      <c r="F52" s="19">
        <f t="shared" si="23"/>
        <v>-14295</v>
      </c>
      <c r="G52" s="19">
        <f t="shared" si="23"/>
        <v>8610</v>
      </c>
      <c r="H52" s="19">
        <f t="shared" si="21"/>
        <v>-8630</v>
      </c>
    </row>
    <row r="53" spans="1:8" x14ac:dyDescent="0.25">
      <c r="A53" s="19" t="s">
        <v>281</v>
      </c>
      <c r="B53" s="19">
        <f t="shared" ref="B53:E53" si="24">+C54</f>
        <v>49448</v>
      </c>
      <c r="C53" s="19">
        <f t="shared" si="24"/>
        <v>50243</v>
      </c>
      <c r="D53" s="19">
        <f t="shared" si="24"/>
        <v>51749</v>
      </c>
      <c r="E53" s="19">
        <f t="shared" si="24"/>
        <v>51775</v>
      </c>
      <c r="F53" s="19">
        <f>+G54</f>
        <v>66070</v>
      </c>
      <c r="G53" s="19">
        <v>57460</v>
      </c>
      <c r="H53" s="19">
        <f>+G53</f>
        <v>57460</v>
      </c>
    </row>
    <row r="54" spans="1:8" ht="15.75" thickBot="1" x14ac:dyDescent="0.3">
      <c r="A54" s="19" t="s">
        <v>282</v>
      </c>
      <c r="B54" s="74">
        <f t="shared" ref="B54:G54" si="25">+B34</f>
        <v>48830</v>
      </c>
      <c r="C54" s="74">
        <f t="shared" si="25"/>
        <v>49448</v>
      </c>
      <c r="D54" s="74">
        <f t="shared" si="25"/>
        <v>50243</v>
      </c>
      <c r="E54" s="74">
        <f t="shared" si="25"/>
        <v>51749</v>
      </c>
      <c r="F54" s="74">
        <f t="shared" si="25"/>
        <v>51775</v>
      </c>
      <c r="G54" s="74">
        <f t="shared" si="25"/>
        <v>66070</v>
      </c>
      <c r="H54" s="74">
        <f>++H52+H53</f>
        <v>48830</v>
      </c>
    </row>
    <row r="55" spans="1:8" ht="15.75" thickTop="1" x14ac:dyDescent="0.25"/>
    <row r="56" spans="1:8" s="53" customFormat="1" x14ac:dyDescent="0.25">
      <c r="A56" s="66" t="str">
        <f>+A1</f>
        <v>Kraft Heinz Company</v>
      </c>
      <c r="B56" s="66" t="str">
        <f>+B1</f>
        <v>Reclassified</v>
      </c>
      <c r="C56" s="66"/>
      <c r="D56" s="66"/>
      <c r="E56" s="66"/>
      <c r="F56" s="66"/>
      <c r="G56" s="66"/>
      <c r="H56" s="66"/>
    </row>
    <row r="57" spans="1:8" s="53" customFormat="1" x14ac:dyDescent="0.25">
      <c r="A57" s="66" t="s">
        <v>112</v>
      </c>
      <c r="B57" s="66"/>
      <c r="C57" s="66"/>
      <c r="D57" s="66"/>
      <c r="E57" s="66"/>
      <c r="F57" s="66"/>
      <c r="G57" s="66"/>
      <c r="H57" s="66"/>
    </row>
    <row r="58" spans="1:8" s="53" customFormat="1" x14ac:dyDescent="0.25">
      <c r="A58" s="66" t="str">
        <f>+A3</f>
        <v>in millions except per share data</v>
      </c>
      <c r="B58" s="66"/>
      <c r="C58" s="66"/>
      <c r="D58" s="66"/>
      <c r="E58" s="66"/>
      <c r="F58" s="66" t="s">
        <v>262</v>
      </c>
      <c r="G58" s="72" t="s">
        <v>66</v>
      </c>
      <c r="H58" s="67"/>
    </row>
    <row r="59" spans="1:8" s="53" customFormat="1" ht="15.75" thickBot="1" x14ac:dyDescent="0.3">
      <c r="A59" s="67" t="str">
        <f>+A4</f>
        <v>Fiscal year ended 12/31:</v>
      </c>
      <c r="B59" s="69">
        <v>2022</v>
      </c>
      <c r="C59" s="69">
        <v>2021</v>
      </c>
      <c r="D59" s="69">
        <v>2020</v>
      </c>
      <c r="E59" s="69">
        <v>2019</v>
      </c>
      <c r="F59" s="69">
        <v>2018</v>
      </c>
      <c r="G59" s="69">
        <v>2017</v>
      </c>
      <c r="H59" s="69" t="s">
        <v>275</v>
      </c>
    </row>
    <row r="60" spans="1:8" x14ac:dyDescent="0.25">
      <c r="A60" s="19" t="s">
        <v>115</v>
      </c>
      <c r="B60" s="60">
        <v>26485</v>
      </c>
      <c r="C60" s="60">
        <v>26042</v>
      </c>
      <c r="D60" s="60">
        <v>26185</v>
      </c>
      <c r="E60" s="60">
        <v>24977</v>
      </c>
      <c r="F60" s="60">
        <v>26268</v>
      </c>
      <c r="G60" s="60">
        <v>26076</v>
      </c>
      <c r="H60" s="60">
        <f>SUM(B60:G60)</f>
        <v>156033</v>
      </c>
    </row>
    <row r="61" spans="1:8" x14ac:dyDescent="0.25">
      <c r="A61" s="54" t="s">
        <v>116</v>
      </c>
      <c r="B61" s="19">
        <v>18363</v>
      </c>
      <c r="C61" s="19">
        <v>17360</v>
      </c>
      <c r="D61" s="19">
        <v>17008</v>
      </c>
      <c r="E61" s="19">
        <v>16830</v>
      </c>
      <c r="F61" s="19">
        <v>17347</v>
      </c>
      <c r="G61" s="19">
        <v>17043</v>
      </c>
      <c r="H61" s="19">
        <f>SUM(B61:G61)</f>
        <v>103951</v>
      </c>
    </row>
    <row r="62" spans="1:8" x14ac:dyDescent="0.25">
      <c r="A62" s="19" t="s">
        <v>117</v>
      </c>
      <c r="B62" s="57">
        <f>+B60-B61</f>
        <v>8122</v>
      </c>
      <c r="C62" s="57">
        <f t="shared" ref="C62:G62" si="26">+C60-C61</f>
        <v>8682</v>
      </c>
      <c r="D62" s="57">
        <f t="shared" si="26"/>
        <v>9177</v>
      </c>
      <c r="E62" s="57">
        <f t="shared" si="26"/>
        <v>8147</v>
      </c>
      <c r="F62" s="57">
        <f t="shared" si="26"/>
        <v>8921</v>
      </c>
      <c r="G62" s="57">
        <f t="shared" si="26"/>
        <v>9033</v>
      </c>
      <c r="H62" s="57">
        <f t="shared" ref="H62:H76" si="27">SUM(B62:G62)</f>
        <v>52082</v>
      </c>
    </row>
    <row r="63" spans="1:8" x14ac:dyDescent="0.25">
      <c r="A63" s="54" t="s">
        <v>283</v>
      </c>
      <c r="B63" s="19">
        <f>+B316</f>
        <v>2503</v>
      </c>
      <c r="C63" s="19">
        <f t="shared" ref="C63:G63" si="28">+C316</f>
        <v>2409</v>
      </c>
      <c r="D63" s="19">
        <f t="shared" si="28"/>
        <v>2461</v>
      </c>
      <c r="E63" s="19">
        <f t="shared" si="28"/>
        <v>1966</v>
      </c>
      <c r="F63" s="19">
        <f t="shared" si="28"/>
        <v>1941</v>
      </c>
      <c r="G63" s="19">
        <f t="shared" si="28"/>
        <v>1719</v>
      </c>
      <c r="H63" s="19">
        <f t="shared" si="27"/>
        <v>12999</v>
      </c>
    </row>
    <row r="64" spans="1:8" x14ac:dyDescent="0.25">
      <c r="A64" s="54" t="s">
        <v>284</v>
      </c>
      <c r="B64" s="19">
        <f>+B251</f>
        <v>945</v>
      </c>
      <c r="C64" s="19">
        <f t="shared" ref="C64:G65" si="29">+C251</f>
        <v>1039</v>
      </c>
      <c r="D64" s="19">
        <f t="shared" si="29"/>
        <v>1070</v>
      </c>
      <c r="E64" s="19">
        <f t="shared" si="29"/>
        <v>1100</v>
      </c>
      <c r="F64" s="19">
        <f t="shared" si="29"/>
        <v>1140</v>
      </c>
      <c r="G64" s="19">
        <f t="shared" si="29"/>
        <v>1115</v>
      </c>
      <c r="H64" s="19">
        <f t="shared" si="27"/>
        <v>6409</v>
      </c>
    </row>
    <row r="65" spans="1:8" x14ac:dyDescent="0.25">
      <c r="A65" s="54" t="s">
        <v>285</v>
      </c>
      <c r="B65" s="19">
        <f>+B252</f>
        <v>127</v>
      </c>
      <c r="C65" s="19">
        <f t="shared" si="29"/>
        <v>140</v>
      </c>
      <c r="D65" s="19">
        <f t="shared" si="29"/>
        <v>119</v>
      </c>
      <c r="E65" s="19">
        <f t="shared" si="29"/>
        <v>112</v>
      </c>
      <c r="F65" s="19">
        <f t="shared" si="29"/>
        <v>109</v>
      </c>
      <c r="G65" s="19">
        <f t="shared" si="29"/>
        <v>93</v>
      </c>
      <c r="H65" s="19">
        <f t="shared" si="27"/>
        <v>700</v>
      </c>
    </row>
    <row r="66" spans="1:8" x14ac:dyDescent="0.25">
      <c r="A66" s="54" t="s">
        <v>119</v>
      </c>
      <c r="B66" s="19">
        <v>444</v>
      </c>
      <c r="C66" s="19">
        <v>318</v>
      </c>
      <c r="D66" s="19">
        <v>2343</v>
      </c>
      <c r="E66" s="19">
        <v>1197</v>
      </c>
      <c r="F66" s="19">
        <v>7008</v>
      </c>
      <c r="G66" s="19">
        <v>0</v>
      </c>
      <c r="H66" s="19">
        <f t="shared" si="27"/>
        <v>11310</v>
      </c>
    </row>
    <row r="67" spans="1:8" x14ac:dyDescent="0.25">
      <c r="A67" s="54" t="s">
        <v>120</v>
      </c>
      <c r="B67" s="19">
        <v>469</v>
      </c>
      <c r="C67" s="19">
        <v>1316</v>
      </c>
      <c r="D67" s="19">
        <v>1056</v>
      </c>
      <c r="E67" s="19">
        <v>702</v>
      </c>
      <c r="F67" s="19">
        <v>8928</v>
      </c>
      <c r="G67" s="19">
        <v>49</v>
      </c>
      <c r="H67" s="19">
        <f t="shared" si="27"/>
        <v>12520</v>
      </c>
    </row>
    <row r="68" spans="1:8" x14ac:dyDescent="0.25">
      <c r="A68" s="62" t="s">
        <v>121</v>
      </c>
      <c r="B68" s="55">
        <f>SUM(B63:B67)</f>
        <v>4488</v>
      </c>
      <c r="C68" s="55">
        <f t="shared" ref="C68:G68" si="30">SUM(C63:C67)</f>
        <v>5222</v>
      </c>
      <c r="D68" s="55">
        <f t="shared" si="30"/>
        <v>7049</v>
      </c>
      <c r="E68" s="55">
        <f t="shared" si="30"/>
        <v>5077</v>
      </c>
      <c r="F68" s="55">
        <f t="shared" si="30"/>
        <v>19126</v>
      </c>
      <c r="G68" s="55">
        <f t="shared" si="30"/>
        <v>2976</v>
      </c>
      <c r="H68" s="55">
        <f t="shared" si="27"/>
        <v>43938</v>
      </c>
    </row>
    <row r="69" spans="1:8" x14ac:dyDescent="0.25">
      <c r="A69" s="19" t="s">
        <v>122</v>
      </c>
      <c r="B69" s="19">
        <f>+B62-B68</f>
        <v>3634</v>
      </c>
      <c r="C69" s="19">
        <f t="shared" ref="C69:G69" si="31">+C62-C68</f>
        <v>3460</v>
      </c>
      <c r="D69" s="19">
        <f t="shared" si="31"/>
        <v>2128</v>
      </c>
      <c r="E69" s="19">
        <f t="shared" si="31"/>
        <v>3070</v>
      </c>
      <c r="F69" s="19">
        <f t="shared" si="31"/>
        <v>-10205</v>
      </c>
      <c r="G69" s="19">
        <f t="shared" si="31"/>
        <v>6057</v>
      </c>
      <c r="H69" s="19">
        <f t="shared" si="27"/>
        <v>8144</v>
      </c>
    </row>
    <row r="70" spans="1:8" x14ac:dyDescent="0.25">
      <c r="A70" s="54" t="s">
        <v>123</v>
      </c>
      <c r="B70" s="19">
        <v>921</v>
      </c>
      <c r="C70" s="19">
        <v>2047</v>
      </c>
      <c r="D70" s="19">
        <v>1394</v>
      </c>
      <c r="E70" s="19">
        <v>1361</v>
      </c>
      <c r="F70" s="19">
        <v>1284</v>
      </c>
      <c r="G70" s="19">
        <v>1234</v>
      </c>
      <c r="H70" s="19">
        <f t="shared" si="27"/>
        <v>8241</v>
      </c>
    </row>
    <row r="71" spans="1:8" x14ac:dyDescent="0.25">
      <c r="A71" s="54" t="s">
        <v>124</v>
      </c>
      <c r="B71" s="19">
        <v>-253</v>
      </c>
      <c r="C71" s="19">
        <v>-295</v>
      </c>
      <c r="D71" s="19">
        <v>-296</v>
      </c>
      <c r="E71" s="19">
        <v>-952</v>
      </c>
      <c r="F71" s="19">
        <v>-168</v>
      </c>
      <c r="G71" s="19">
        <v>-627</v>
      </c>
      <c r="H71" s="19">
        <f t="shared" si="27"/>
        <v>-2591</v>
      </c>
    </row>
    <row r="72" spans="1:8" x14ac:dyDescent="0.25">
      <c r="A72" s="19" t="s">
        <v>125</v>
      </c>
      <c r="B72" s="57">
        <f>+B69-B70-B71</f>
        <v>2966</v>
      </c>
      <c r="C72" s="57">
        <f t="shared" ref="C72:G72" si="32">+C69-C70-C71</f>
        <v>1708</v>
      </c>
      <c r="D72" s="57">
        <f t="shared" si="32"/>
        <v>1030</v>
      </c>
      <c r="E72" s="57">
        <f t="shared" si="32"/>
        <v>2661</v>
      </c>
      <c r="F72" s="57">
        <f t="shared" si="32"/>
        <v>-11321</v>
      </c>
      <c r="G72" s="57">
        <f t="shared" si="32"/>
        <v>5450</v>
      </c>
      <c r="H72" s="57">
        <f t="shared" si="27"/>
        <v>2494</v>
      </c>
    </row>
    <row r="73" spans="1:8" x14ac:dyDescent="0.25">
      <c r="A73" s="54" t="s">
        <v>126</v>
      </c>
      <c r="B73" s="19">
        <v>598</v>
      </c>
      <c r="C73" s="19">
        <v>684</v>
      </c>
      <c r="D73" s="19">
        <v>669</v>
      </c>
      <c r="E73" s="19">
        <v>728</v>
      </c>
      <c r="F73" s="19">
        <v>-1067</v>
      </c>
      <c r="G73" s="19">
        <v>-5482</v>
      </c>
      <c r="H73" s="19">
        <f t="shared" si="27"/>
        <v>-3870</v>
      </c>
    </row>
    <row r="74" spans="1:8" x14ac:dyDescent="0.25">
      <c r="A74" s="19" t="s">
        <v>127</v>
      </c>
      <c r="B74" s="57">
        <f>+B72-B73</f>
        <v>2368</v>
      </c>
      <c r="C74" s="57">
        <f t="shared" ref="C74:G74" si="33">+C72-C73</f>
        <v>1024</v>
      </c>
      <c r="D74" s="57">
        <f t="shared" si="33"/>
        <v>361</v>
      </c>
      <c r="E74" s="57">
        <f t="shared" si="33"/>
        <v>1933</v>
      </c>
      <c r="F74" s="57">
        <f t="shared" si="33"/>
        <v>-10254</v>
      </c>
      <c r="G74" s="57">
        <f t="shared" si="33"/>
        <v>10932</v>
      </c>
      <c r="H74" s="57">
        <f t="shared" si="27"/>
        <v>6364</v>
      </c>
    </row>
    <row r="75" spans="1:8" x14ac:dyDescent="0.25">
      <c r="A75" s="54" t="s">
        <v>105</v>
      </c>
      <c r="B75" s="19">
        <v>5</v>
      </c>
      <c r="C75" s="19">
        <v>12</v>
      </c>
      <c r="D75" s="19">
        <v>5</v>
      </c>
      <c r="E75" s="19">
        <v>-2</v>
      </c>
      <c r="F75" s="19">
        <v>-62</v>
      </c>
      <c r="G75" s="19">
        <v>-9</v>
      </c>
      <c r="H75" s="19">
        <f t="shared" si="27"/>
        <v>-51</v>
      </c>
    </row>
    <row r="76" spans="1:8" ht="15.75" thickBot="1" x14ac:dyDescent="0.3">
      <c r="A76" s="19" t="s">
        <v>128</v>
      </c>
      <c r="B76" s="74">
        <f>+B74-B75</f>
        <v>2363</v>
      </c>
      <c r="C76" s="74">
        <f t="shared" ref="C76:G76" si="34">+C74-C75</f>
        <v>1012</v>
      </c>
      <c r="D76" s="74">
        <f t="shared" si="34"/>
        <v>356</v>
      </c>
      <c r="E76" s="74">
        <f t="shared" si="34"/>
        <v>1935</v>
      </c>
      <c r="F76" s="74">
        <f t="shared" si="34"/>
        <v>-10192</v>
      </c>
      <c r="G76" s="74">
        <f t="shared" si="34"/>
        <v>10941</v>
      </c>
      <c r="H76" s="74">
        <f t="shared" si="27"/>
        <v>6415</v>
      </c>
    </row>
    <row r="77" spans="1:8" ht="15.75" thickTop="1" x14ac:dyDescent="0.25">
      <c r="B77" s="19">
        <f>+B76-'As Reported'!B70</f>
        <v>0</v>
      </c>
      <c r="C77" s="19">
        <f>+C76-'As Reported'!C70</f>
        <v>0</v>
      </c>
      <c r="D77" s="19">
        <f>+D76-'As Reported'!D70</f>
        <v>0</v>
      </c>
      <c r="E77" s="19">
        <f>+E76-'As Reported'!E70</f>
        <v>0</v>
      </c>
      <c r="F77" s="19">
        <f>+F76-'As Reported'!F70</f>
        <v>0</v>
      </c>
      <c r="G77" s="19">
        <f>+G76-'As Reported'!G70</f>
        <v>0</v>
      </c>
    </row>
    <row r="78" spans="1:8" x14ac:dyDescent="0.25">
      <c r="A78" s="19" t="s">
        <v>131</v>
      </c>
      <c r="B78" s="19">
        <v>1235</v>
      </c>
      <c r="C78" s="19">
        <v>1236</v>
      </c>
      <c r="D78" s="19">
        <v>1228</v>
      </c>
      <c r="E78" s="19">
        <v>1224</v>
      </c>
      <c r="F78" s="19">
        <v>1219</v>
      </c>
      <c r="G78" s="19">
        <v>1228</v>
      </c>
    </row>
    <row r="79" spans="1:8" x14ac:dyDescent="0.25">
      <c r="A79" s="19" t="s">
        <v>132</v>
      </c>
      <c r="B79" s="24">
        <f>+B76/B78</f>
        <v>1.9133603238866397</v>
      </c>
      <c r="C79" s="24">
        <f t="shared" ref="C79:G79" si="35">+C76/C78</f>
        <v>0.81877022653721687</v>
      </c>
      <c r="D79" s="24">
        <f t="shared" si="35"/>
        <v>0.28990228013029318</v>
      </c>
      <c r="E79" s="24">
        <f t="shared" si="35"/>
        <v>1.5808823529411764</v>
      </c>
      <c r="F79" s="24">
        <f t="shared" si="35"/>
        <v>-8.3609515996718624</v>
      </c>
      <c r="G79" s="24">
        <f t="shared" si="35"/>
        <v>8.9096091205211732</v>
      </c>
      <c r="H79" s="24"/>
    </row>
    <row r="80" spans="1:8" x14ac:dyDescent="0.25">
      <c r="A80" s="19" t="s">
        <v>133</v>
      </c>
      <c r="B80" s="24">
        <v>1.6</v>
      </c>
      <c r="C80" s="24">
        <v>1.6</v>
      </c>
      <c r="D80" s="24">
        <v>1.6</v>
      </c>
      <c r="E80" s="24">
        <v>1.6</v>
      </c>
      <c r="F80" s="24">
        <v>2.5</v>
      </c>
      <c r="G80" s="24">
        <v>2.4500000000000002</v>
      </c>
      <c r="H80" s="24"/>
    </row>
    <row r="81" spans="1:8" x14ac:dyDescent="0.25">
      <c r="B81" s="24"/>
      <c r="C81" s="24"/>
      <c r="D81" s="24"/>
      <c r="E81" s="24"/>
      <c r="F81" s="24"/>
      <c r="G81" s="24"/>
      <c r="H81" s="24"/>
    </row>
    <row r="82" spans="1:8" x14ac:dyDescent="0.25">
      <c r="A82" s="19" t="s">
        <v>286</v>
      </c>
      <c r="B82" s="83">
        <f>+B73/B72</f>
        <v>0.20161834120026972</v>
      </c>
      <c r="C82" s="83">
        <f t="shared" ref="C82:H82" si="36">+C73/C72</f>
        <v>0.40046838407494145</v>
      </c>
      <c r="D82" s="83">
        <f t="shared" si="36"/>
        <v>0.64951456310679612</v>
      </c>
      <c r="E82" s="83">
        <f t="shared" si="36"/>
        <v>0.27358136039083053</v>
      </c>
      <c r="F82" s="83">
        <f t="shared" si="36"/>
        <v>9.4249624591467185E-2</v>
      </c>
      <c r="G82" s="83">
        <f t="shared" si="36"/>
        <v>-1.0058715596330274</v>
      </c>
      <c r="H82" s="83">
        <f t="shared" si="36"/>
        <v>-1.5517241379310345</v>
      </c>
    </row>
    <row r="83" spans="1:8" x14ac:dyDescent="0.25">
      <c r="B83" s="24"/>
      <c r="C83" s="24"/>
      <c r="D83" s="24"/>
      <c r="E83" s="24"/>
      <c r="F83" s="24"/>
      <c r="G83" s="24"/>
      <c r="H83" s="24"/>
    </row>
    <row r="84" spans="1:8" x14ac:dyDescent="0.25">
      <c r="A84" s="53" t="s">
        <v>287</v>
      </c>
    </row>
    <row r="85" spans="1:8" x14ac:dyDescent="0.25">
      <c r="A85" s="19" t="s">
        <v>217</v>
      </c>
      <c r="B85" s="60">
        <f>+B76</f>
        <v>2363</v>
      </c>
      <c r="C85" s="60">
        <f t="shared" ref="C85:G85" si="37">+C76</f>
        <v>1012</v>
      </c>
      <c r="D85" s="60">
        <f t="shared" si="37"/>
        <v>356</v>
      </c>
      <c r="E85" s="60">
        <f t="shared" si="37"/>
        <v>1935</v>
      </c>
      <c r="F85" s="60">
        <f t="shared" si="37"/>
        <v>-10192</v>
      </c>
      <c r="G85" s="60">
        <f t="shared" si="37"/>
        <v>10941</v>
      </c>
    </row>
    <row r="86" spans="1:8" x14ac:dyDescent="0.25">
      <c r="A86" s="54" t="s">
        <v>288</v>
      </c>
      <c r="B86" s="19">
        <f>+B73</f>
        <v>598</v>
      </c>
      <c r="C86" s="19">
        <f t="shared" ref="C86:G86" si="38">+C73</f>
        <v>684</v>
      </c>
      <c r="D86" s="19">
        <f t="shared" si="38"/>
        <v>669</v>
      </c>
      <c r="E86" s="19">
        <f t="shared" si="38"/>
        <v>728</v>
      </c>
      <c r="F86" s="19">
        <f t="shared" si="38"/>
        <v>-1067</v>
      </c>
      <c r="G86" s="19">
        <f t="shared" si="38"/>
        <v>-5482</v>
      </c>
    </row>
    <row r="87" spans="1:8" x14ac:dyDescent="0.25">
      <c r="A87" s="54" t="s">
        <v>289</v>
      </c>
      <c r="B87" s="63">
        <f>+B70</f>
        <v>921</v>
      </c>
      <c r="C87" s="63">
        <f t="shared" ref="C87:G87" si="39">+C70</f>
        <v>2047</v>
      </c>
      <c r="D87" s="63">
        <f t="shared" si="39"/>
        <v>1394</v>
      </c>
      <c r="E87" s="63">
        <f t="shared" si="39"/>
        <v>1361</v>
      </c>
      <c r="F87" s="63">
        <f t="shared" si="39"/>
        <v>1284</v>
      </c>
      <c r="G87" s="63">
        <f t="shared" si="39"/>
        <v>1234</v>
      </c>
    </row>
    <row r="88" spans="1:8" x14ac:dyDescent="0.25">
      <c r="A88" s="19" t="s">
        <v>247</v>
      </c>
      <c r="B88" s="19">
        <f>SUM(B85:B87)</f>
        <v>3882</v>
      </c>
      <c r="C88" s="19">
        <f t="shared" ref="C88:G88" si="40">SUM(C85:C87)</f>
        <v>3743</v>
      </c>
      <c r="D88" s="19">
        <f t="shared" si="40"/>
        <v>2419</v>
      </c>
      <c r="E88" s="19">
        <f t="shared" si="40"/>
        <v>4024</v>
      </c>
      <c r="F88" s="19">
        <f t="shared" si="40"/>
        <v>-9975</v>
      </c>
      <c r="G88" s="19">
        <f t="shared" si="40"/>
        <v>6693</v>
      </c>
    </row>
    <row r="89" spans="1:8" x14ac:dyDescent="0.25">
      <c r="A89" s="54" t="s">
        <v>290</v>
      </c>
      <c r="B89" s="19">
        <f>+B102</f>
        <v>933</v>
      </c>
      <c r="C89" s="19">
        <f t="shared" ref="C89:G89" si="41">+C102</f>
        <v>910</v>
      </c>
      <c r="D89" s="19">
        <f t="shared" si="41"/>
        <v>969</v>
      </c>
      <c r="E89" s="19">
        <f t="shared" si="41"/>
        <v>994</v>
      </c>
      <c r="F89" s="19">
        <f t="shared" si="41"/>
        <v>983</v>
      </c>
      <c r="G89" s="19">
        <f t="shared" si="41"/>
        <v>1031</v>
      </c>
    </row>
    <row r="90" spans="1:8" ht="15.75" thickBot="1" x14ac:dyDescent="0.3">
      <c r="A90" s="19" t="s">
        <v>291</v>
      </c>
      <c r="B90" s="74">
        <f>+B89+B88</f>
        <v>4815</v>
      </c>
      <c r="C90" s="74">
        <f t="shared" ref="C90:G90" si="42">+C89+C88</f>
        <v>4653</v>
      </c>
      <c r="D90" s="74">
        <f t="shared" si="42"/>
        <v>3388</v>
      </c>
      <c r="E90" s="74">
        <f t="shared" si="42"/>
        <v>5018</v>
      </c>
      <c r="F90" s="74">
        <f t="shared" si="42"/>
        <v>-8992</v>
      </c>
      <c r="G90" s="74">
        <f t="shared" si="42"/>
        <v>7724</v>
      </c>
    </row>
    <row r="91" spans="1:8" ht="15.75" thickTop="1" x14ac:dyDescent="0.25"/>
    <row r="92" spans="1:8" x14ac:dyDescent="0.25">
      <c r="A92" s="19" t="s">
        <v>216</v>
      </c>
      <c r="B92" s="60">
        <f>+B69</f>
        <v>3634</v>
      </c>
      <c r="C92" s="60">
        <f t="shared" ref="C92:G92" si="43">+C69</f>
        <v>3460</v>
      </c>
      <c r="D92" s="60">
        <f t="shared" si="43"/>
        <v>2128</v>
      </c>
      <c r="E92" s="60">
        <f t="shared" si="43"/>
        <v>3070</v>
      </c>
      <c r="F92" s="60">
        <f t="shared" si="43"/>
        <v>-10205</v>
      </c>
      <c r="G92" s="60">
        <f t="shared" si="43"/>
        <v>6057</v>
      </c>
    </row>
    <row r="93" spans="1:8" x14ac:dyDescent="0.25">
      <c r="A93" s="54" t="s">
        <v>292</v>
      </c>
      <c r="B93" s="19">
        <f>-B71</f>
        <v>253</v>
      </c>
      <c r="C93" s="19">
        <f t="shared" ref="C93:G93" si="44">-C71</f>
        <v>295</v>
      </c>
      <c r="D93" s="19">
        <f t="shared" si="44"/>
        <v>296</v>
      </c>
      <c r="E93" s="19">
        <f t="shared" si="44"/>
        <v>952</v>
      </c>
      <c r="F93" s="19">
        <f t="shared" si="44"/>
        <v>168</v>
      </c>
      <c r="G93" s="19">
        <f t="shared" si="44"/>
        <v>627</v>
      </c>
    </row>
    <row r="94" spans="1:8" x14ac:dyDescent="0.25">
      <c r="A94" s="54" t="s">
        <v>105</v>
      </c>
      <c r="B94" s="19">
        <f>-B75</f>
        <v>-5</v>
      </c>
      <c r="C94" s="19">
        <f t="shared" ref="C94:G94" si="45">-C75</f>
        <v>-12</v>
      </c>
      <c r="D94" s="19">
        <f t="shared" si="45"/>
        <v>-5</v>
      </c>
      <c r="E94" s="19">
        <f t="shared" si="45"/>
        <v>2</v>
      </c>
      <c r="F94" s="19">
        <f t="shared" si="45"/>
        <v>62</v>
      </c>
      <c r="G94" s="19">
        <f t="shared" si="45"/>
        <v>9</v>
      </c>
    </row>
    <row r="95" spans="1:8" ht="15.75" thickBot="1" x14ac:dyDescent="0.3">
      <c r="A95" s="19" t="s">
        <v>247</v>
      </c>
      <c r="B95" s="74">
        <f>+SUM(B92:B94)</f>
        <v>3882</v>
      </c>
      <c r="C95" s="74">
        <f t="shared" ref="C95:G95" si="46">+SUM(C92:C94)</f>
        <v>3743</v>
      </c>
      <c r="D95" s="74">
        <f t="shared" si="46"/>
        <v>2419</v>
      </c>
      <c r="E95" s="74">
        <f t="shared" si="46"/>
        <v>4024</v>
      </c>
      <c r="F95" s="74">
        <f t="shared" si="46"/>
        <v>-9975</v>
      </c>
      <c r="G95" s="74">
        <f t="shared" si="46"/>
        <v>6693</v>
      </c>
    </row>
    <row r="96" spans="1:8" ht="15.75" thickTop="1" x14ac:dyDescent="0.25"/>
    <row r="97" spans="1:8" s="53" customFormat="1" x14ac:dyDescent="0.25">
      <c r="A97" s="66" t="str">
        <f>+A1</f>
        <v>Kraft Heinz Company</v>
      </c>
      <c r="B97" s="66" t="str">
        <f>+B1</f>
        <v>Reclassified</v>
      </c>
      <c r="C97" s="66"/>
      <c r="D97" s="66"/>
      <c r="E97" s="66"/>
      <c r="F97" s="66"/>
      <c r="G97" s="66"/>
      <c r="H97" s="66"/>
    </row>
    <row r="98" spans="1:8" s="53" customFormat="1" x14ac:dyDescent="0.25">
      <c r="A98" s="66" t="s">
        <v>134</v>
      </c>
      <c r="B98" s="66"/>
      <c r="C98" s="66"/>
      <c r="D98" s="66"/>
      <c r="E98" s="66"/>
      <c r="F98" s="66"/>
      <c r="G98" s="66"/>
      <c r="H98" s="66"/>
    </row>
    <row r="99" spans="1:8" s="53" customFormat="1" x14ac:dyDescent="0.25">
      <c r="A99" s="66" t="str">
        <f>+A3</f>
        <v>in millions except per share data</v>
      </c>
      <c r="B99" s="66"/>
      <c r="C99" s="66"/>
      <c r="D99" s="66"/>
      <c r="E99" s="66"/>
      <c r="F99" s="66" t="s">
        <v>262</v>
      </c>
      <c r="G99" s="72" t="s">
        <v>66</v>
      </c>
      <c r="H99" s="67"/>
    </row>
    <row r="100" spans="1:8" s="53" customFormat="1" ht="15.75" thickBot="1" x14ac:dyDescent="0.3">
      <c r="A100" s="67" t="str">
        <f>+A4</f>
        <v>Fiscal year ended 12/31:</v>
      </c>
      <c r="B100" s="69">
        <v>2022</v>
      </c>
      <c r="C100" s="69">
        <v>2021</v>
      </c>
      <c r="D100" s="69">
        <v>2020</v>
      </c>
      <c r="E100" s="69">
        <v>2019</v>
      </c>
      <c r="F100" s="69">
        <v>2018</v>
      </c>
      <c r="G100" s="69">
        <v>2017</v>
      </c>
      <c r="H100" s="69" t="s">
        <v>275</v>
      </c>
    </row>
    <row r="101" spans="1:8" x14ac:dyDescent="0.25">
      <c r="A101" s="19" t="s">
        <v>293</v>
      </c>
      <c r="B101" s="60">
        <f>+'As Reported'!B68</f>
        <v>2368</v>
      </c>
      <c r="C101" s="60">
        <f>+'As Reported'!C68</f>
        <v>1024</v>
      </c>
      <c r="D101" s="60">
        <f>+'As Reported'!D68</f>
        <v>361</v>
      </c>
      <c r="E101" s="60">
        <f>+'As Reported'!E68</f>
        <v>1933</v>
      </c>
      <c r="F101" s="60">
        <f>+'As Reported'!F68</f>
        <v>-10254</v>
      </c>
      <c r="G101" s="60">
        <f>+'As Reported'!G68</f>
        <v>10932</v>
      </c>
      <c r="H101" s="60">
        <f>SUM(B101:G101)</f>
        <v>6364</v>
      </c>
    </row>
    <row r="102" spans="1:8" x14ac:dyDescent="0.25">
      <c r="A102" s="54" t="s">
        <v>137</v>
      </c>
      <c r="B102" s="19">
        <v>933</v>
      </c>
      <c r="C102" s="19">
        <v>910</v>
      </c>
      <c r="D102" s="19">
        <v>969</v>
      </c>
      <c r="E102" s="19">
        <v>994</v>
      </c>
      <c r="F102" s="19">
        <v>983</v>
      </c>
      <c r="G102" s="19">
        <v>1031</v>
      </c>
      <c r="H102" s="19">
        <f>SUM(B102:G102)</f>
        <v>5820</v>
      </c>
    </row>
    <row r="103" spans="1:8" x14ac:dyDescent="0.25">
      <c r="A103" s="54" t="s">
        <v>138</v>
      </c>
      <c r="B103" s="19">
        <v>-14</v>
      </c>
      <c r="C103" s="19">
        <v>-7</v>
      </c>
      <c r="D103" s="19">
        <v>-122</v>
      </c>
      <c r="E103" s="19">
        <v>-306</v>
      </c>
      <c r="F103" s="19">
        <v>-339</v>
      </c>
      <c r="G103" s="19">
        <v>-328</v>
      </c>
      <c r="H103" s="19">
        <f t="shared" ref="H103:H121" si="47">SUM(B103:G103)</f>
        <v>-1116</v>
      </c>
    </row>
    <row r="104" spans="1:8" x14ac:dyDescent="0.25">
      <c r="A104" s="54" t="s">
        <v>294</v>
      </c>
      <c r="B104" s="19">
        <v>-56</v>
      </c>
      <c r="C104" s="19">
        <v>-4</v>
      </c>
      <c r="D104" s="19">
        <v>0</v>
      </c>
      <c r="E104" s="19">
        <v>0</v>
      </c>
      <c r="F104" s="19">
        <v>0</v>
      </c>
      <c r="G104" s="19">
        <v>0</v>
      </c>
      <c r="H104" s="19">
        <f t="shared" si="47"/>
        <v>-60</v>
      </c>
    </row>
    <row r="105" spans="1:8" x14ac:dyDescent="0.25">
      <c r="A105" s="54" t="s">
        <v>142</v>
      </c>
      <c r="B105" s="19">
        <v>148</v>
      </c>
      <c r="C105" s="19">
        <v>197</v>
      </c>
      <c r="D105" s="19">
        <v>156</v>
      </c>
      <c r="E105" s="19">
        <v>46</v>
      </c>
      <c r="F105" s="19">
        <v>33</v>
      </c>
      <c r="G105" s="19">
        <v>46</v>
      </c>
      <c r="H105" s="19">
        <f t="shared" si="47"/>
        <v>626</v>
      </c>
    </row>
    <row r="106" spans="1:8" x14ac:dyDescent="0.25">
      <c r="A106" s="54" t="s">
        <v>93</v>
      </c>
      <c r="B106" s="19">
        <v>-278</v>
      </c>
      <c r="C106" s="19">
        <v>-1042</v>
      </c>
      <c r="D106" s="19">
        <v>-343</v>
      </c>
      <c r="E106" s="19">
        <v>-293</v>
      </c>
      <c r="F106" s="19">
        <v>-1967</v>
      </c>
      <c r="G106" s="19">
        <v>-6495</v>
      </c>
      <c r="H106" s="19">
        <f t="shared" si="47"/>
        <v>-10418</v>
      </c>
    </row>
    <row r="107" spans="1:8" x14ac:dyDescent="0.25">
      <c r="A107" s="54" t="s">
        <v>143</v>
      </c>
      <c r="B107" s="19">
        <v>-23</v>
      </c>
      <c r="C107" s="19">
        <v>-27</v>
      </c>
      <c r="D107" s="19">
        <v>-27</v>
      </c>
      <c r="E107" s="19">
        <v>-32</v>
      </c>
      <c r="F107" s="19">
        <v>-76</v>
      </c>
      <c r="G107" s="19">
        <v>-1659</v>
      </c>
      <c r="H107" s="19">
        <f t="shared" si="47"/>
        <v>-1844</v>
      </c>
    </row>
    <row r="108" spans="1:8" x14ac:dyDescent="0.25">
      <c r="A108" s="54" t="s">
        <v>144</v>
      </c>
      <c r="B108" s="19">
        <v>913</v>
      </c>
      <c r="C108" s="19">
        <v>1634</v>
      </c>
      <c r="D108" s="19">
        <v>3399</v>
      </c>
      <c r="E108" s="19">
        <v>1899</v>
      </c>
      <c r="F108" s="19">
        <v>15936</v>
      </c>
      <c r="G108" s="19">
        <v>49</v>
      </c>
      <c r="H108" s="19">
        <f t="shared" si="47"/>
        <v>23830</v>
      </c>
    </row>
    <row r="109" spans="1:8" x14ac:dyDescent="0.25">
      <c r="A109" s="54" t="s">
        <v>145</v>
      </c>
      <c r="B109" s="19">
        <v>17</v>
      </c>
      <c r="C109" s="19">
        <v>0</v>
      </c>
      <c r="D109" s="19">
        <v>6</v>
      </c>
      <c r="E109" s="19">
        <v>10</v>
      </c>
      <c r="F109" s="19">
        <v>146</v>
      </c>
      <c r="G109" s="19">
        <v>36</v>
      </c>
      <c r="H109" s="19">
        <f t="shared" si="47"/>
        <v>215</v>
      </c>
    </row>
    <row r="110" spans="1:8" x14ac:dyDescent="0.25">
      <c r="A110" s="54" t="s">
        <v>147</v>
      </c>
      <c r="B110" s="19">
        <v>-25</v>
      </c>
      <c r="C110" s="19">
        <v>-44</v>
      </c>
      <c r="D110" s="19">
        <v>2</v>
      </c>
      <c r="E110" s="19">
        <v>-420</v>
      </c>
      <c r="F110" s="19">
        <v>15</v>
      </c>
      <c r="G110" s="19">
        <v>0</v>
      </c>
      <c r="H110" s="19">
        <f t="shared" si="47"/>
        <v>-472</v>
      </c>
    </row>
    <row r="111" spans="1:8" x14ac:dyDescent="0.25">
      <c r="A111" s="54" t="s">
        <v>295</v>
      </c>
      <c r="B111" s="19">
        <v>0</v>
      </c>
      <c r="C111" s="19">
        <v>1587</v>
      </c>
      <c r="D111" s="19">
        <v>0</v>
      </c>
      <c r="E111" s="19">
        <v>0</v>
      </c>
      <c r="F111" s="19">
        <v>0</v>
      </c>
      <c r="G111" s="19">
        <v>0</v>
      </c>
      <c r="H111" s="19">
        <f t="shared" si="47"/>
        <v>1587</v>
      </c>
    </row>
    <row r="112" spans="1:8" x14ac:dyDescent="0.25">
      <c r="A112" s="54" t="s">
        <v>149</v>
      </c>
      <c r="B112" s="19">
        <v>-38</v>
      </c>
      <c r="C112" s="19">
        <v>917</v>
      </c>
      <c r="D112" s="19">
        <v>124</v>
      </c>
      <c r="E112" s="19">
        <v>0</v>
      </c>
      <c r="F112" s="19">
        <v>0</v>
      </c>
      <c r="G112" s="19">
        <v>0</v>
      </c>
      <c r="H112" s="19">
        <f t="shared" si="47"/>
        <v>1003</v>
      </c>
    </row>
    <row r="113" spans="1:8" x14ac:dyDescent="0.25">
      <c r="A113" s="54" t="s">
        <v>150</v>
      </c>
      <c r="B113" s="19">
        <v>7</v>
      </c>
      <c r="C113" s="19">
        <v>-187</v>
      </c>
      <c r="D113" s="19">
        <v>-54</v>
      </c>
      <c r="E113" s="19">
        <v>-46</v>
      </c>
      <c r="F113" s="19">
        <v>160</v>
      </c>
      <c r="G113" s="19">
        <v>253</v>
      </c>
      <c r="H113" s="19">
        <f t="shared" si="47"/>
        <v>133</v>
      </c>
    </row>
    <row r="114" spans="1:8" x14ac:dyDescent="0.25">
      <c r="A114" s="88" t="s">
        <v>151</v>
      </c>
      <c r="B114" s="89">
        <f>SUM(B101:B113)</f>
        <v>3952</v>
      </c>
      <c r="C114" s="89">
        <f t="shared" ref="C114:G114" si="48">SUM(C101:C113)</f>
        <v>4958</v>
      </c>
      <c r="D114" s="89">
        <f t="shared" si="48"/>
        <v>4471</v>
      </c>
      <c r="E114" s="89">
        <f t="shared" si="48"/>
        <v>3785</v>
      </c>
      <c r="F114" s="89">
        <f t="shared" si="48"/>
        <v>4637</v>
      </c>
      <c r="G114" s="89">
        <f t="shared" si="48"/>
        <v>3865</v>
      </c>
      <c r="H114" s="89">
        <f t="shared" si="47"/>
        <v>25668</v>
      </c>
    </row>
    <row r="115" spans="1:8" x14ac:dyDescent="0.25">
      <c r="A115" s="19" t="s">
        <v>152</v>
      </c>
      <c r="H115" s="19">
        <f t="shared" si="47"/>
        <v>0</v>
      </c>
    </row>
    <row r="116" spans="1:8" x14ac:dyDescent="0.25">
      <c r="A116" s="54" t="s">
        <v>18</v>
      </c>
      <c r="B116" s="19">
        <v>-228</v>
      </c>
      <c r="C116" s="19">
        <v>87</v>
      </c>
      <c r="D116" s="19">
        <v>-26</v>
      </c>
      <c r="E116" s="19">
        <v>140</v>
      </c>
      <c r="F116" s="19">
        <v>-2280</v>
      </c>
      <c r="G116" s="19">
        <v>-2629</v>
      </c>
      <c r="H116" s="19">
        <f t="shared" si="47"/>
        <v>-4936</v>
      </c>
    </row>
    <row r="117" spans="1:8" x14ac:dyDescent="0.25">
      <c r="A117" s="54" t="s">
        <v>19</v>
      </c>
      <c r="B117" s="19">
        <v>-1121</v>
      </c>
      <c r="C117" s="19">
        <v>-144</v>
      </c>
      <c r="D117" s="19">
        <v>-249</v>
      </c>
      <c r="E117" s="19">
        <v>-277</v>
      </c>
      <c r="F117" s="19">
        <v>-251</v>
      </c>
      <c r="G117" s="19">
        <v>-236</v>
      </c>
      <c r="H117" s="19">
        <f t="shared" si="47"/>
        <v>-2278</v>
      </c>
    </row>
    <row r="118" spans="1:8" x14ac:dyDescent="0.25">
      <c r="A118" s="54" t="s">
        <v>28</v>
      </c>
      <c r="B118" s="19">
        <v>152</v>
      </c>
      <c r="C118" s="19">
        <v>408</v>
      </c>
      <c r="D118" s="19">
        <v>207</v>
      </c>
      <c r="E118" s="19">
        <v>-58</v>
      </c>
      <c r="F118" s="19">
        <v>-23</v>
      </c>
      <c r="G118" s="19">
        <v>441</v>
      </c>
      <c r="H118" s="19">
        <f t="shared" si="47"/>
        <v>1127</v>
      </c>
    </row>
    <row r="119" spans="1:8" x14ac:dyDescent="0.25">
      <c r="A119" s="54" t="s">
        <v>20</v>
      </c>
      <c r="B119" s="19">
        <v>-314</v>
      </c>
      <c r="C119" s="19">
        <v>-32</v>
      </c>
      <c r="D119" s="19">
        <v>40</v>
      </c>
      <c r="E119" s="19">
        <v>52</v>
      </c>
      <c r="F119" s="19">
        <v>-146</v>
      </c>
      <c r="G119" s="19">
        <v>-64</v>
      </c>
      <c r="H119" s="19">
        <f t="shared" si="47"/>
        <v>-464</v>
      </c>
    </row>
    <row r="120" spans="1:8" x14ac:dyDescent="0.25">
      <c r="A120" s="54" t="s">
        <v>29</v>
      </c>
      <c r="B120" s="19">
        <v>28</v>
      </c>
      <c r="C120" s="19">
        <v>87</v>
      </c>
      <c r="D120" s="19">
        <v>486</v>
      </c>
      <c r="E120" s="19">
        <v>-90</v>
      </c>
      <c r="F120" s="19">
        <v>637</v>
      </c>
      <c r="G120" s="19">
        <v>-876</v>
      </c>
      <c r="H120" s="19">
        <f t="shared" si="47"/>
        <v>272</v>
      </c>
    </row>
    <row r="121" spans="1:8" x14ac:dyDescent="0.25">
      <c r="A121" s="19" t="s">
        <v>153</v>
      </c>
      <c r="B121" s="55">
        <f>SUM(B114:B120)</f>
        <v>2469</v>
      </c>
      <c r="C121" s="55">
        <f t="shared" ref="C121:G121" si="49">SUM(C114:C120)</f>
        <v>5364</v>
      </c>
      <c r="D121" s="55">
        <f t="shared" si="49"/>
        <v>4929</v>
      </c>
      <c r="E121" s="55">
        <f t="shared" si="49"/>
        <v>3552</v>
      </c>
      <c r="F121" s="55">
        <f t="shared" si="49"/>
        <v>2574</v>
      </c>
      <c r="G121" s="55">
        <f t="shared" si="49"/>
        <v>501</v>
      </c>
      <c r="H121" s="55">
        <f t="shared" si="47"/>
        <v>19389</v>
      </c>
    </row>
    <row r="122" spans="1:8" x14ac:dyDescent="0.25">
      <c r="A122" s="19" t="s">
        <v>296</v>
      </c>
      <c r="B122" s="80"/>
      <c r="C122" s="80"/>
      <c r="D122" s="80"/>
      <c r="E122" s="80"/>
      <c r="F122" s="80"/>
      <c r="G122" s="80"/>
      <c r="H122" s="80"/>
    </row>
    <row r="123" spans="1:8" x14ac:dyDescent="0.25">
      <c r="A123" s="54" t="s">
        <v>297</v>
      </c>
      <c r="B123" s="85">
        <f>+B60+B116</f>
        <v>26257</v>
      </c>
      <c r="C123" s="85">
        <f t="shared" ref="C123:G123" si="50">+C60+C116</f>
        <v>26129</v>
      </c>
      <c r="D123" s="85">
        <f t="shared" si="50"/>
        <v>26159</v>
      </c>
      <c r="E123" s="85">
        <f t="shared" si="50"/>
        <v>25117</v>
      </c>
      <c r="F123" s="85">
        <f t="shared" si="50"/>
        <v>23988</v>
      </c>
      <c r="G123" s="85">
        <f t="shared" si="50"/>
        <v>23447</v>
      </c>
      <c r="H123" s="85">
        <f>SUM(B123:G123)</f>
        <v>151097</v>
      </c>
    </row>
    <row r="124" spans="1:8" x14ac:dyDescent="0.25">
      <c r="A124" s="54" t="s">
        <v>298</v>
      </c>
      <c r="B124" s="80">
        <f>-B61+B117+B118</f>
        <v>-19332</v>
      </c>
      <c r="C124" s="80">
        <f t="shared" ref="C124:G124" si="51">-C61+C117+C118</f>
        <v>-17096</v>
      </c>
      <c r="D124" s="80">
        <f t="shared" si="51"/>
        <v>-17050</v>
      </c>
      <c r="E124" s="80">
        <f t="shared" si="51"/>
        <v>-17165</v>
      </c>
      <c r="F124" s="80">
        <f t="shared" si="51"/>
        <v>-17621</v>
      </c>
      <c r="G124" s="80">
        <f t="shared" si="51"/>
        <v>-16838</v>
      </c>
      <c r="H124" s="80">
        <f t="shared" ref="H124:H154" si="52">SUM(B124:G124)</f>
        <v>-105102</v>
      </c>
    </row>
    <row r="125" spans="1:8" x14ac:dyDescent="0.25">
      <c r="A125" s="54" t="s">
        <v>299</v>
      </c>
      <c r="B125" s="57">
        <f>+B123+B124</f>
        <v>6925</v>
      </c>
      <c r="C125" s="57">
        <f t="shared" ref="C125:G125" si="53">+C123+C124</f>
        <v>9033</v>
      </c>
      <c r="D125" s="57">
        <f t="shared" si="53"/>
        <v>9109</v>
      </c>
      <c r="E125" s="57">
        <f t="shared" si="53"/>
        <v>7952</v>
      </c>
      <c r="F125" s="57">
        <f t="shared" si="53"/>
        <v>6367</v>
      </c>
      <c r="G125" s="57">
        <f t="shared" si="53"/>
        <v>6609</v>
      </c>
      <c r="H125" s="57">
        <f t="shared" si="52"/>
        <v>45995</v>
      </c>
    </row>
    <row r="126" spans="1:8" x14ac:dyDescent="0.25">
      <c r="A126" s="54" t="s">
        <v>300</v>
      </c>
      <c r="B126" s="80">
        <f t="shared" ref="B126:G127" si="54">-B159</f>
        <v>-937</v>
      </c>
      <c r="C126" s="80">
        <f t="shared" si="54"/>
        <v>-1196</v>
      </c>
      <c r="D126" s="80">
        <f t="shared" si="54"/>
        <v>-1286</v>
      </c>
      <c r="E126" s="80">
        <f t="shared" si="54"/>
        <v>-1306</v>
      </c>
      <c r="F126" s="80">
        <f t="shared" si="54"/>
        <v>-1322</v>
      </c>
      <c r="G126" s="80">
        <f t="shared" si="54"/>
        <v>-1269</v>
      </c>
      <c r="H126" s="80">
        <f t="shared" si="52"/>
        <v>-7316</v>
      </c>
    </row>
    <row r="127" spans="1:8" x14ac:dyDescent="0.25">
      <c r="A127" s="54" t="s">
        <v>301</v>
      </c>
      <c r="B127" s="80">
        <f t="shared" si="54"/>
        <v>-1260</v>
      </c>
      <c r="C127" s="80">
        <f t="shared" si="54"/>
        <v>-1295</v>
      </c>
      <c r="D127" s="80">
        <f t="shared" si="54"/>
        <v>-1027</v>
      </c>
      <c r="E127" s="80">
        <f t="shared" si="54"/>
        <v>-974</v>
      </c>
      <c r="F127" s="80">
        <f t="shared" si="54"/>
        <v>-543</v>
      </c>
      <c r="G127" s="80">
        <f t="shared" si="54"/>
        <v>-1206</v>
      </c>
      <c r="H127" s="80">
        <f t="shared" si="52"/>
        <v>-6305</v>
      </c>
    </row>
    <row r="128" spans="1:8" x14ac:dyDescent="0.25">
      <c r="A128" s="54" t="s">
        <v>302</v>
      </c>
      <c r="B128" s="80">
        <f>+B111</f>
        <v>0</v>
      </c>
      <c r="C128" s="80">
        <f t="shared" ref="C128:G128" si="55">+C111</f>
        <v>1587</v>
      </c>
      <c r="D128" s="80">
        <f t="shared" si="55"/>
        <v>0</v>
      </c>
      <c r="E128" s="80">
        <f t="shared" si="55"/>
        <v>0</v>
      </c>
      <c r="F128" s="80">
        <f t="shared" si="55"/>
        <v>0</v>
      </c>
      <c r="G128" s="80">
        <f t="shared" si="55"/>
        <v>0</v>
      </c>
      <c r="H128" s="80">
        <f t="shared" si="52"/>
        <v>1587</v>
      </c>
    </row>
    <row r="129" spans="1:8" x14ac:dyDescent="0.25">
      <c r="A129" s="54" t="s">
        <v>143</v>
      </c>
      <c r="B129" s="80">
        <f>+B107</f>
        <v>-23</v>
      </c>
      <c r="C129" s="80">
        <f t="shared" ref="C129:G129" si="56">+C107</f>
        <v>-27</v>
      </c>
      <c r="D129" s="80">
        <f t="shared" si="56"/>
        <v>-27</v>
      </c>
      <c r="E129" s="80">
        <f t="shared" si="56"/>
        <v>-32</v>
      </c>
      <c r="F129" s="80">
        <f t="shared" si="56"/>
        <v>-76</v>
      </c>
      <c r="G129" s="80">
        <f t="shared" si="56"/>
        <v>-1659</v>
      </c>
      <c r="H129" s="80">
        <f t="shared" si="52"/>
        <v>-1844</v>
      </c>
    </row>
    <row r="130" spans="1:8" x14ac:dyDescent="0.25">
      <c r="A130" s="54" t="s">
        <v>303</v>
      </c>
      <c r="B130" s="80">
        <f>-B161</f>
        <v>-173</v>
      </c>
      <c r="C130" s="80">
        <f t="shared" ref="C130:G130" si="57">-C161</f>
        <v>-176</v>
      </c>
      <c r="D130" s="80">
        <f t="shared" si="57"/>
        <v>-173</v>
      </c>
      <c r="E130" s="80">
        <f t="shared" si="57"/>
        <v>-191</v>
      </c>
      <c r="F130" s="80">
        <f t="shared" si="57"/>
        <v>-200</v>
      </c>
      <c r="G130" s="80">
        <f t="shared" si="57"/>
        <v>-244</v>
      </c>
      <c r="H130" s="80">
        <f t="shared" si="52"/>
        <v>-1157</v>
      </c>
    </row>
    <row r="131" spans="1:8" x14ac:dyDescent="0.25">
      <c r="A131" s="54" t="s">
        <v>304</v>
      </c>
      <c r="B131" s="80">
        <f t="shared" ref="B131:G131" si="58">+B132-SUM(B125:B130)</f>
        <v>-2063</v>
      </c>
      <c r="C131" s="80">
        <f t="shared" si="58"/>
        <v>-2562</v>
      </c>
      <c r="D131" s="80">
        <f t="shared" si="58"/>
        <v>-1667</v>
      </c>
      <c r="E131" s="80">
        <f t="shared" si="58"/>
        <v>-1897</v>
      </c>
      <c r="F131" s="80">
        <f t="shared" si="58"/>
        <v>-1652</v>
      </c>
      <c r="G131" s="80">
        <f t="shared" si="58"/>
        <v>-1730</v>
      </c>
      <c r="H131" s="80">
        <f t="shared" si="52"/>
        <v>-11571</v>
      </c>
    </row>
    <row r="132" spans="1:8" x14ac:dyDescent="0.25">
      <c r="A132" s="19" t="s">
        <v>153</v>
      </c>
      <c r="B132" s="55">
        <f>+B121</f>
        <v>2469</v>
      </c>
      <c r="C132" s="55">
        <f t="shared" ref="C132:G132" si="59">+C121</f>
        <v>5364</v>
      </c>
      <c r="D132" s="55">
        <f t="shared" si="59"/>
        <v>4929</v>
      </c>
      <c r="E132" s="55">
        <f t="shared" si="59"/>
        <v>3552</v>
      </c>
      <c r="F132" s="55">
        <f t="shared" si="59"/>
        <v>2574</v>
      </c>
      <c r="G132" s="55">
        <f t="shared" si="59"/>
        <v>501</v>
      </c>
      <c r="H132" s="55">
        <f t="shared" si="52"/>
        <v>19389</v>
      </c>
    </row>
    <row r="133" spans="1:8" x14ac:dyDescent="0.25">
      <c r="A133" s="19" t="s">
        <v>154</v>
      </c>
    </row>
    <row r="134" spans="1:8" x14ac:dyDescent="0.25">
      <c r="A134" s="54" t="s">
        <v>155</v>
      </c>
      <c r="B134" s="19">
        <v>-916</v>
      </c>
      <c r="C134" s="19">
        <v>-905</v>
      </c>
      <c r="D134" s="19">
        <v>-596</v>
      </c>
      <c r="E134" s="19">
        <v>-768</v>
      </c>
      <c r="F134" s="19">
        <v>-826</v>
      </c>
      <c r="G134" s="19">
        <v>-1194</v>
      </c>
      <c r="H134" s="19">
        <f t="shared" si="52"/>
        <v>-5205</v>
      </c>
    </row>
    <row r="135" spans="1:8" x14ac:dyDescent="0.25">
      <c r="A135" s="54" t="s">
        <v>156</v>
      </c>
      <c r="B135" s="19">
        <v>0</v>
      </c>
      <c r="C135" s="19">
        <v>0</v>
      </c>
      <c r="D135" s="19">
        <v>0</v>
      </c>
      <c r="E135" s="19">
        <v>0</v>
      </c>
      <c r="F135" s="19">
        <v>1296</v>
      </c>
      <c r="G135" s="19">
        <v>2286</v>
      </c>
      <c r="H135" s="19">
        <f t="shared" si="52"/>
        <v>3582</v>
      </c>
    </row>
    <row r="136" spans="1:8" x14ac:dyDescent="0.25">
      <c r="A136" s="54" t="s">
        <v>305</v>
      </c>
      <c r="B136" s="19">
        <v>-481</v>
      </c>
      <c r="C136" s="19">
        <v>-74</v>
      </c>
      <c r="D136" s="19">
        <v>0</v>
      </c>
      <c r="E136" s="19">
        <v>-199</v>
      </c>
      <c r="F136" s="19">
        <v>-248</v>
      </c>
      <c r="G136" s="19">
        <v>0</v>
      </c>
      <c r="H136" s="19">
        <f t="shared" si="52"/>
        <v>-1002</v>
      </c>
    </row>
    <row r="137" spans="1:8" x14ac:dyDescent="0.25">
      <c r="A137" s="54" t="s">
        <v>158</v>
      </c>
      <c r="B137" s="19">
        <v>208</v>
      </c>
      <c r="C137" s="19">
        <v>-28</v>
      </c>
      <c r="D137" s="19">
        <v>25</v>
      </c>
      <c r="E137" s="19">
        <v>590</v>
      </c>
      <c r="F137" s="19">
        <v>24</v>
      </c>
      <c r="G137" s="19">
        <v>0</v>
      </c>
      <c r="H137" s="19">
        <f t="shared" si="52"/>
        <v>819</v>
      </c>
    </row>
    <row r="138" spans="1:8" x14ac:dyDescent="0.25">
      <c r="A138" s="54" t="s">
        <v>159</v>
      </c>
      <c r="B138" s="19">
        <v>88</v>
      </c>
      <c r="C138" s="19">
        <v>5014</v>
      </c>
      <c r="D138" s="19">
        <v>0</v>
      </c>
      <c r="E138" s="19">
        <v>1875</v>
      </c>
      <c r="F138" s="19">
        <v>18</v>
      </c>
      <c r="G138" s="19">
        <v>0</v>
      </c>
      <c r="H138" s="19">
        <f t="shared" si="52"/>
        <v>6995</v>
      </c>
    </row>
    <row r="139" spans="1:8" x14ac:dyDescent="0.25">
      <c r="A139" s="54" t="s">
        <v>160</v>
      </c>
      <c r="B139" s="19">
        <v>10</v>
      </c>
      <c r="C139" s="19">
        <v>31</v>
      </c>
      <c r="D139" s="19">
        <v>49</v>
      </c>
      <c r="E139" s="19">
        <v>13</v>
      </c>
      <c r="F139" s="19">
        <v>24</v>
      </c>
      <c r="G139" s="19">
        <v>85</v>
      </c>
      <c r="H139" s="19">
        <f t="shared" si="52"/>
        <v>212</v>
      </c>
    </row>
    <row r="140" spans="1:8" x14ac:dyDescent="0.25">
      <c r="A140" s="19" t="s">
        <v>161</v>
      </c>
      <c r="B140" s="55">
        <f>SUM(B134:B139)</f>
        <v>-1091</v>
      </c>
      <c r="C140" s="55">
        <f t="shared" ref="C140:G140" si="60">SUM(C134:C139)</f>
        <v>4038</v>
      </c>
      <c r="D140" s="55">
        <f t="shared" si="60"/>
        <v>-522</v>
      </c>
      <c r="E140" s="55">
        <f t="shared" si="60"/>
        <v>1511</v>
      </c>
      <c r="F140" s="55">
        <f t="shared" si="60"/>
        <v>288</v>
      </c>
      <c r="G140" s="55">
        <f t="shared" si="60"/>
        <v>1177</v>
      </c>
      <c r="H140" s="55">
        <f t="shared" si="52"/>
        <v>5401</v>
      </c>
    </row>
    <row r="141" spans="1:8" x14ac:dyDescent="0.25">
      <c r="A141" s="19" t="s">
        <v>162</v>
      </c>
    </row>
    <row r="142" spans="1:8" x14ac:dyDescent="0.25">
      <c r="A142" s="56" t="s">
        <v>163</v>
      </c>
      <c r="B142" s="19">
        <v>-1465</v>
      </c>
      <c r="C142" s="19">
        <v>-6202</v>
      </c>
      <c r="D142" s="19">
        <v>-4697</v>
      </c>
      <c r="E142" s="19">
        <v>-4795</v>
      </c>
      <c r="F142" s="19">
        <v>-2713</v>
      </c>
      <c r="G142" s="19">
        <v>-2641</v>
      </c>
      <c r="H142" s="19">
        <f t="shared" si="52"/>
        <v>-22513</v>
      </c>
    </row>
    <row r="143" spans="1:8" x14ac:dyDescent="0.25">
      <c r="A143" s="56" t="s">
        <v>164</v>
      </c>
      <c r="B143" s="19">
        <v>0</v>
      </c>
      <c r="C143" s="19">
        <v>0</v>
      </c>
      <c r="D143" s="19">
        <v>3500</v>
      </c>
      <c r="E143" s="19">
        <v>2967</v>
      </c>
      <c r="F143" s="19">
        <v>2990</v>
      </c>
      <c r="G143" s="19">
        <v>1496</v>
      </c>
      <c r="H143" s="19">
        <f t="shared" si="52"/>
        <v>10953</v>
      </c>
    </row>
    <row r="144" spans="1:8" x14ac:dyDescent="0.25">
      <c r="A144" s="56" t="s">
        <v>165</v>
      </c>
      <c r="B144" s="19">
        <v>10</v>
      </c>
      <c r="C144" s="19">
        <v>-924</v>
      </c>
      <c r="D144" s="19">
        <v>-116</v>
      </c>
      <c r="E144" s="19">
        <v>-99</v>
      </c>
      <c r="F144" s="19">
        <v>0</v>
      </c>
      <c r="G144" s="19">
        <v>0</v>
      </c>
      <c r="H144" s="19">
        <f t="shared" si="52"/>
        <v>-1129</v>
      </c>
    </row>
    <row r="145" spans="1:8" x14ac:dyDescent="0.25">
      <c r="A145" s="56" t="s">
        <v>166</v>
      </c>
      <c r="B145" s="19">
        <v>0</v>
      </c>
      <c r="C145" s="19">
        <v>0</v>
      </c>
      <c r="D145" s="19">
        <v>4000</v>
      </c>
      <c r="E145" s="19">
        <v>0</v>
      </c>
      <c r="F145" s="19">
        <v>0</v>
      </c>
      <c r="G145" s="19">
        <v>0</v>
      </c>
      <c r="H145" s="19">
        <f t="shared" si="52"/>
        <v>4000</v>
      </c>
    </row>
    <row r="146" spans="1:8" x14ac:dyDescent="0.25">
      <c r="A146" s="56" t="s">
        <v>167</v>
      </c>
      <c r="B146" s="19">
        <v>0</v>
      </c>
      <c r="C146" s="19">
        <v>0</v>
      </c>
      <c r="D146" s="19">
        <v>-4000</v>
      </c>
      <c r="E146" s="19">
        <v>0</v>
      </c>
      <c r="F146" s="19">
        <v>0</v>
      </c>
      <c r="G146" s="19">
        <v>0</v>
      </c>
      <c r="H146" s="19">
        <f t="shared" si="52"/>
        <v>-4000</v>
      </c>
    </row>
    <row r="147" spans="1:8" x14ac:dyDescent="0.25">
      <c r="A147" s="56" t="s">
        <v>168</v>
      </c>
      <c r="B147" s="19">
        <v>228</v>
      </c>
      <c r="C147" s="19">
        <v>0</v>
      </c>
      <c r="D147" s="19">
        <v>0</v>
      </c>
      <c r="E147" s="19">
        <v>557</v>
      </c>
      <c r="F147" s="19">
        <v>2784</v>
      </c>
      <c r="G147" s="19">
        <v>6043</v>
      </c>
      <c r="H147" s="19">
        <f t="shared" si="52"/>
        <v>9612</v>
      </c>
    </row>
    <row r="148" spans="1:8" x14ac:dyDescent="0.25">
      <c r="A148" s="56" t="s">
        <v>169</v>
      </c>
      <c r="B148" s="19">
        <v>-228</v>
      </c>
      <c r="C148" s="19">
        <v>0</v>
      </c>
      <c r="D148" s="19">
        <v>0</v>
      </c>
      <c r="E148" s="19">
        <v>-557</v>
      </c>
      <c r="F148" s="19">
        <v>-3213</v>
      </c>
      <c r="G148" s="19">
        <v>-6249</v>
      </c>
      <c r="H148" s="19">
        <f t="shared" si="52"/>
        <v>-10247</v>
      </c>
    </row>
    <row r="149" spans="1:8" x14ac:dyDescent="0.25">
      <c r="A149" s="54" t="s">
        <v>306</v>
      </c>
      <c r="B149" s="57">
        <f>SUM(B142:B148)</f>
        <v>-1455</v>
      </c>
      <c r="C149" s="57">
        <f t="shared" ref="C149:G149" si="61">SUM(C142:C148)</f>
        <v>-7126</v>
      </c>
      <c r="D149" s="57">
        <f t="shared" si="61"/>
        <v>-1313</v>
      </c>
      <c r="E149" s="57">
        <f t="shared" si="61"/>
        <v>-1927</v>
      </c>
      <c r="F149" s="57">
        <f t="shared" si="61"/>
        <v>-152</v>
      </c>
      <c r="G149" s="57">
        <f t="shared" si="61"/>
        <v>-1351</v>
      </c>
      <c r="H149" s="57">
        <f t="shared" si="52"/>
        <v>-13324</v>
      </c>
    </row>
    <row r="150" spans="1:8" x14ac:dyDescent="0.25">
      <c r="A150" s="54" t="s">
        <v>307</v>
      </c>
      <c r="B150" s="19">
        <v>-1960</v>
      </c>
      <c r="C150" s="19">
        <v>-1959</v>
      </c>
      <c r="D150" s="19">
        <v>-1958</v>
      </c>
      <c r="E150" s="19">
        <v>-1953</v>
      </c>
      <c r="F150" s="19">
        <v>-3183</v>
      </c>
      <c r="G150" s="19">
        <v>-2888</v>
      </c>
      <c r="H150" s="19">
        <f t="shared" si="52"/>
        <v>-13901</v>
      </c>
    </row>
    <row r="151" spans="1:8" x14ac:dyDescent="0.25">
      <c r="A151" s="54" t="s">
        <v>174</v>
      </c>
      <c r="B151" s="19">
        <v>-299</v>
      </c>
      <c r="C151" s="19">
        <v>-259</v>
      </c>
      <c r="D151" s="19">
        <v>-60</v>
      </c>
      <c r="E151" s="19">
        <v>-33</v>
      </c>
      <c r="F151" s="19">
        <v>-28</v>
      </c>
      <c r="G151" s="19">
        <v>18</v>
      </c>
      <c r="H151" s="19">
        <f t="shared" si="52"/>
        <v>-661</v>
      </c>
    </row>
    <row r="152" spans="1:8" x14ac:dyDescent="0.25">
      <c r="A152" s="19" t="s">
        <v>175</v>
      </c>
      <c r="B152" s="55">
        <f>SUM(B149:B151)</f>
        <v>-3714</v>
      </c>
      <c r="C152" s="55">
        <f t="shared" ref="C152:G152" si="62">SUM(C149:C151)</f>
        <v>-9344</v>
      </c>
      <c r="D152" s="55">
        <f t="shared" si="62"/>
        <v>-3331</v>
      </c>
      <c r="E152" s="55">
        <f t="shared" si="62"/>
        <v>-3913</v>
      </c>
      <c r="F152" s="55">
        <f t="shared" si="62"/>
        <v>-3363</v>
      </c>
      <c r="G152" s="55">
        <f t="shared" si="62"/>
        <v>-4221</v>
      </c>
      <c r="H152" s="55">
        <f t="shared" si="52"/>
        <v>-27886</v>
      </c>
    </row>
    <row r="153" spans="1:8" x14ac:dyDescent="0.25">
      <c r="A153" s="19" t="s">
        <v>176</v>
      </c>
      <c r="B153" s="19">
        <v>-69</v>
      </c>
      <c r="C153" s="19">
        <v>-30</v>
      </c>
      <c r="D153" s="19">
        <v>62</v>
      </c>
      <c r="E153" s="19">
        <v>-6</v>
      </c>
      <c r="F153" s="19">
        <v>-132</v>
      </c>
      <c r="G153" s="19">
        <v>57</v>
      </c>
      <c r="H153" s="19">
        <f t="shared" si="52"/>
        <v>-118</v>
      </c>
    </row>
    <row r="154" spans="1:8" x14ac:dyDescent="0.25">
      <c r="A154" s="19" t="s">
        <v>322</v>
      </c>
      <c r="B154" s="57">
        <f t="shared" ref="B154:G154" si="63">+B153+B152+B140+B121</f>
        <v>-2405</v>
      </c>
      <c r="C154" s="57">
        <f t="shared" si="63"/>
        <v>28</v>
      </c>
      <c r="D154" s="57">
        <f t="shared" si="63"/>
        <v>1138</v>
      </c>
      <c r="E154" s="57">
        <f t="shared" si="63"/>
        <v>1144</v>
      </c>
      <c r="F154" s="57">
        <f t="shared" si="63"/>
        <v>-633</v>
      </c>
      <c r="G154" s="57">
        <f t="shared" si="63"/>
        <v>-2486</v>
      </c>
      <c r="H154" s="57">
        <f t="shared" si="52"/>
        <v>-3214</v>
      </c>
    </row>
    <row r="155" spans="1:8" x14ac:dyDescent="0.25">
      <c r="A155" s="19" t="s">
        <v>178</v>
      </c>
      <c r="B155" s="19">
        <f>+C156</f>
        <v>3446</v>
      </c>
      <c r="C155" s="19">
        <f t="shared" ref="C155:E155" si="64">+D156</f>
        <v>3418</v>
      </c>
      <c r="D155" s="19">
        <v>2280</v>
      </c>
      <c r="E155" s="19">
        <f t="shared" si="64"/>
        <v>1136</v>
      </c>
      <c r="F155" s="19">
        <v>1769</v>
      </c>
      <c r="G155" s="19">
        <v>4255</v>
      </c>
      <c r="H155" s="19">
        <f>+G155</f>
        <v>4255</v>
      </c>
    </row>
    <row r="156" spans="1:8" ht="15.75" thickBot="1" x14ac:dyDescent="0.3">
      <c r="A156" s="19" t="s">
        <v>179</v>
      </c>
      <c r="B156" s="74">
        <f>+B155+B154</f>
        <v>1041</v>
      </c>
      <c r="C156" s="74">
        <f t="shared" ref="C156:G156" si="65">+C155+C154</f>
        <v>3446</v>
      </c>
      <c r="D156" s="74">
        <f t="shared" si="65"/>
        <v>3418</v>
      </c>
      <c r="E156" s="74">
        <f t="shared" si="65"/>
        <v>2280</v>
      </c>
      <c r="F156" s="74">
        <f t="shared" si="65"/>
        <v>1136</v>
      </c>
      <c r="G156" s="74">
        <f t="shared" si="65"/>
        <v>1769</v>
      </c>
      <c r="H156" s="74">
        <f>+H155+H154</f>
        <v>1041</v>
      </c>
    </row>
    <row r="157" spans="1:8" ht="15.75" thickTop="1" x14ac:dyDescent="0.25">
      <c r="A157" s="58" t="s">
        <v>308</v>
      </c>
      <c r="B157" s="19">
        <f t="shared" ref="B157:G157" si="66">+B156-B6</f>
        <v>1</v>
      </c>
      <c r="C157" s="19">
        <f t="shared" si="66"/>
        <v>1</v>
      </c>
      <c r="D157" s="19">
        <f t="shared" si="66"/>
        <v>1</v>
      </c>
      <c r="E157" s="19">
        <f t="shared" si="66"/>
        <v>1</v>
      </c>
      <c r="F157" s="19">
        <f t="shared" si="66"/>
        <v>6</v>
      </c>
      <c r="G157" s="19">
        <f t="shared" si="66"/>
        <v>140</v>
      </c>
    </row>
    <row r="159" spans="1:8" hidden="1" x14ac:dyDescent="0.25">
      <c r="A159" s="19" t="s">
        <v>181</v>
      </c>
      <c r="B159" s="60">
        <v>937</v>
      </c>
      <c r="C159" s="60">
        <v>1196</v>
      </c>
      <c r="D159" s="60">
        <v>1286</v>
      </c>
      <c r="E159" s="60">
        <v>1306</v>
      </c>
      <c r="F159" s="60">
        <v>1322</v>
      </c>
      <c r="G159" s="60">
        <v>1269</v>
      </c>
      <c r="H159" s="60"/>
    </row>
    <row r="160" spans="1:8" hidden="1" x14ac:dyDescent="0.25">
      <c r="A160" s="19" t="s">
        <v>182</v>
      </c>
      <c r="B160" s="19">
        <v>1260</v>
      </c>
      <c r="C160" s="19">
        <v>1295</v>
      </c>
      <c r="D160" s="19">
        <v>1027</v>
      </c>
      <c r="E160" s="19">
        <v>974</v>
      </c>
      <c r="F160" s="19">
        <v>543</v>
      </c>
      <c r="G160" s="19">
        <v>1206</v>
      </c>
    </row>
    <row r="161" spans="1:8" hidden="1" x14ac:dyDescent="0.25">
      <c r="A161" s="19" t="s">
        <v>183</v>
      </c>
      <c r="B161" s="60">
        <v>173</v>
      </c>
      <c r="C161" s="60">
        <v>176</v>
      </c>
      <c r="D161" s="60">
        <v>173</v>
      </c>
      <c r="E161" s="60">
        <v>191</v>
      </c>
      <c r="F161" s="60">
        <v>200</v>
      </c>
      <c r="G161" s="60">
        <v>244</v>
      </c>
      <c r="H161" s="60"/>
    </row>
    <row r="162" spans="1:8" x14ac:dyDescent="0.25">
      <c r="A162" s="66" t="str">
        <f>A1</f>
        <v>Kraft Heinz Company</v>
      </c>
      <c r="B162" s="66" t="str">
        <f>B1</f>
        <v>Reclassified</v>
      </c>
      <c r="C162" s="66"/>
      <c r="D162" s="66"/>
      <c r="E162" s="66"/>
      <c r="F162" s="66"/>
      <c r="G162" s="66"/>
      <c r="H162" s="66"/>
    </row>
    <row r="163" spans="1:8" x14ac:dyDescent="0.25">
      <c r="A163" s="66" t="s">
        <v>521</v>
      </c>
      <c r="B163" s="66"/>
      <c r="C163" s="66"/>
      <c r="D163" s="66"/>
      <c r="E163" s="66"/>
      <c r="F163" s="66"/>
      <c r="G163" s="66"/>
      <c r="H163" s="66"/>
    </row>
    <row r="164" spans="1:8" x14ac:dyDescent="0.25">
      <c r="A164" s="66" t="str">
        <f>A3</f>
        <v>in millions except per share data</v>
      </c>
      <c r="B164" s="66"/>
      <c r="C164" s="66"/>
      <c r="D164" s="66"/>
      <c r="E164" s="66"/>
      <c r="F164" s="66"/>
      <c r="G164" s="66"/>
      <c r="H164" s="66"/>
    </row>
    <row r="165" spans="1:8" ht="15.75" thickBot="1" x14ac:dyDescent="0.3">
      <c r="A165" s="67" t="str">
        <f>A4</f>
        <v>Fiscal year ended 12/31:</v>
      </c>
      <c r="B165" s="69">
        <v>2022</v>
      </c>
      <c r="C165" s="69">
        <v>2021</v>
      </c>
      <c r="D165" s="69">
        <v>2020</v>
      </c>
      <c r="E165" s="69">
        <v>2019</v>
      </c>
      <c r="F165" s="69">
        <v>2018</v>
      </c>
      <c r="G165" s="69">
        <v>2017</v>
      </c>
      <c r="H165" s="69" t="s">
        <v>275</v>
      </c>
    </row>
    <row r="166" spans="1:8" x14ac:dyDescent="0.25">
      <c r="A166" s="19" t="s">
        <v>323</v>
      </c>
      <c r="B166" s="60">
        <f>B60</f>
        <v>26485</v>
      </c>
      <c r="C166" s="60">
        <f t="shared" ref="C166:G166" si="67">C60</f>
        <v>26042</v>
      </c>
      <c r="D166" s="60">
        <f t="shared" si="67"/>
        <v>26185</v>
      </c>
      <c r="E166" s="60">
        <f t="shared" si="67"/>
        <v>24977</v>
      </c>
      <c r="F166" s="60">
        <f t="shared" si="67"/>
        <v>26268</v>
      </c>
      <c r="G166" s="60">
        <f t="shared" si="67"/>
        <v>26076</v>
      </c>
      <c r="H166" s="60">
        <f>SUM(B166:G166)</f>
        <v>156033</v>
      </c>
    </row>
    <row r="167" spans="1:8" x14ac:dyDescent="0.25">
      <c r="A167" s="54" t="s">
        <v>324</v>
      </c>
      <c r="B167" s="84">
        <f>B168/B166</f>
        <v>0.14921653766282802</v>
      </c>
      <c r="C167" s="84">
        <f t="shared" ref="C167:H167" si="68">C168/C166</f>
        <v>0.19038476307503263</v>
      </c>
      <c r="D167" s="84">
        <f t="shared" si="68"/>
        <v>0.17074661065495514</v>
      </c>
      <c r="E167" s="84">
        <f t="shared" si="68"/>
        <v>0.15153941626296191</v>
      </c>
      <c r="F167" s="84">
        <f t="shared" si="68"/>
        <v>0.17652657225521548</v>
      </c>
      <c r="G167" s="84">
        <f t="shared" si="68"/>
        <v>0.14822058597944471</v>
      </c>
      <c r="H167" s="84">
        <f t="shared" si="68"/>
        <v>0.16450366268673935</v>
      </c>
    </row>
    <row r="168" spans="1:8" x14ac:dyDescent="0.25">
      <c r="A168" s="19" t="s">
        <v>325</v>
      </c>
      <c r="B168" s="19">
        <f>B114</f>
        <v>3952</v>
      </c>
      <c r="C168" s="19">
        <f t="shared" ref="C168:G168" si="69">C114</f>
        <v>4958</v>
      </c>
      <c r="D168" s="19">
        <f t="shared" si="69"/>
        <v>4471</v>
      </c>
      <c r="E168" s="19">
        <f t="shared" si="69"/>
        <v>3785</v>
      </c>
      <c r="F168" s="19">
        <f t="shared" si="69"/>
        <v>4637</v>
      </c>
      <c r="G168" s="19">
        <f t="shared" si="69"/>
        <v>3865</v>
      </c>
      <c r="H168" s="19">
        <f t="shared" ref="H168:H180" si="70">SUM(B168:G168)</f>
        <v>25668</v>
      </c>
    </row>
    <row r="169" spans="1:8" x14ac:dyDescent="0.25">
      <c r="A169" s="54" t="s">
        <v>326</v>
      </c>
      <c r="B169" s="63">
        <f>B170-B168</f>
        <v>-1483</v>
      </c>
      <c r="C169" s="63">
        <f t="shared" ref="C169:G169" si="71">C170-C168</f>
        <v>406</v>
      </c>
      <c r="D169" s="63">
        <f t="shared" si="71"/>
        <v>458</v>
      </c>
      <c r="E169" s="63">
        <f t="shared" si="71"/>
        <v>-233</v>
      </c>
      <c r="F169" s="63">
        <f t="shared" si="71"/>
        <v>-2063</v>
      </c>
      <c r="G169" s="63">
        <f t="shared" si="71"/>
        <v>-3364</v>
      </c>
      <c r="H169" s="63">
        <f t="shared" si="70"/>
        <v>-6279</v>
      </c>
    </row>
    <row r="170" spans="1:8" x14ac:dyDescent="0.25">
      <c r="A170" s="19" t="s">
        <v>327</v>
      </c>
      <c r="B170" s="19">
        <f>B121</f>
        <v>2469</v>
      </c>
      <c r="C170" s="19">
        <f t="shared" ref="C170:G170" si="72">C121</f>
        <v>5364</v>
      </c>
      <c r="D170" s="19">
        <f t="shared" si="72"/>
        <v>4929</v>
      </c>
      <c r="E170" s="19">
        <f t="shared" si="72"/>
        <v>3552</v>
      </c>
      <c r="F170" s="19">
        <f t="shared" si="72"/>
        <v>2574</v>
      </c>
      <c r="G170" s="19">
        <f t="shared" si="72"/>
        <v>501</v>
      </c>
      <c r="H170" s="19">
        <f t="shared" si="70"/>
        <v>19389</v>
      </c>
    </row>
    <row r="171" spans="1:8" x14ac:dyDescent="0.25">
      <c r="A171" s="54" t="s">
        <v>328</v>
      </c>
      <c r="B171" s="63">
        <f>B134</f>
        <v>-916</v>
      </c>
      <c r="C171" s="63">
        <f t="shared" ref="C171:G171" si="73">C134</f>
        <v>-905</v>
      </c>
      <c r="D171" s="63">
        <f t="shared" si="73"/>
        <v>-596</v>
      </c>
      <c r="E171" s="63">
        <f t="shared" si="73"/>
        <v>-768</v>
      </c>
      <c r="F171" s="63">
        <f t="shared" si="73"/>
        <v>-826</v>
      </c>
      <c r="G171" s="63">
        <f t="shared" si="73"/>
        <v>-1194</v>
      </c>
      <c r="H171" s="63">
        <f t="shared" si="70"/>
        <v>-5205</v>
      </c>
    </row>
    <row r="172" spans="1:8" x14ac:dyDescent="0.25">
      <c r="A172" s="19" t="s">
        <v>329</v>
      </c>
      <c r="B172" s="19">
        <f>B170+B171</f>
        <v>1553</v>
      </c>
      <c r="C172" s="19">
        <f t="shared" ref="C172:G172" si="74">C170+C171</f>
        <v>4459</v>
      </c>
      <c r="D172" s="19">
        <f t="shared" si="74"/>
        <v>4333</v>
      </c>
      <c r="E172" s="19">
        <f t="shared" si="74"/>
        <v>2784</v>
      </c>
      <c r="F172" s="19">
        <f t="shared" si="74"/>
        <v>1748</v>
      </c>
      <c r="G172" s="19">
        <f t="shared" si="74"/>
        <v>-693</v>
      </c>
      <c r="H172" s="19">
        <f t="shared" si="70"/>
        <v>14184</v>
      </c>
    </row>
    <row r="173" spans="1:8" x14ac:dyDescent="0.25">
      <c r="A173" s="54" t="s">
        <v>330</v>
      </c>
      <c r="B173" s="19">
        <v>0</v>
      </c>
      <c r="C173" s="19">
        <v>0</v>
      </c>
      <c r="D173" s="19">
        <v>0</v>
      </c>
      <c r="E173" s="19">
        <v>0</v>
      </c>
      <c r="F173" s="19">
        <v>1296</v>
      </c>
      <c r="G173" s="19">
        <v>2286</v>
      </c>
      <c r="H173" s="19">
        <f t="shared" si="70"/>
        <v>3582</v>
      </c>
    </row>
    <row r="174" spans="1:8" x14ac:dyDescent="0.25">
      <c r="A174" s="54" t="s">
        <v>331</v>
      </c>
      <c r="B174" s="19">
        <v>-481</v>
      </c>
      <c r="C174" s="19">
        <v>-74</v>
      </c>
      <c r="D174" s="19">
        <v>0</v>
      </c>
      <c r="E174" s="19">
        <v>-199</v>
      </c>
      <c r="F174" s="19">
        <v>-248</v>
      </c>
      <c r="G174" s="19">
        <v>0</v>
      </c>
      <c r="H174" s="19">
        <f t="shared" si="70"/>
        <v>-1002</v>
      </c>
    </row>
    <row r="175" spans="1:8" x14ac:dyDescent="0.25">
      <c r="A175" s="54" t="s">
        <v>158</v>
      </c>
      <c r="B175" s="19">
        <f>B137</f>
        <v>208</v>
      </c>
      <c r="C175" s="19">
        <f t="shared" ref="C175:G175" si="75">C137</f>
        <v>-28</v>
      </c>
      <c r="D175" s="19">
        <f t="shared" si="75"/>
        <v>25</v>
      </c>
      <c r="E175" s="19">
        <f t="shared" si="75"/>
        <v>590</v>
      </c>
      <c r="F175" s="19">
        <f t="shared" si="75"/>
        <v>24</v>
      </c>
      <c r="G175" s="19">
        <f t="shared" si="75"/>
        <v>0</v>
      </c>
      <c r="H175" s="19">
        <f t="shared" si="70"/>
        <v>819</v>
      </c>
    </row>
    <row r="176" spans="1:8" x14ac:dyDescent="0.25">
      <c r="A176" s="54" t="s">
        <v>159</v>
      </c>
      <c r="B176" s="54">
        <f t="shared" ref="B176:G176" si="76">B138</f>
        <v>88</v>
      </c>
      <c r="C176" s="54">
        <f t="shared" si="76"/>
        <v>5014</v>
      </c>
      <c r="D176" s="54">
        <f t="shared" si="76"/>
        <v>0</v>
      </c>
      <c r="E176" s="54">
        <f t="shared" si="76"/>
        <v>1875</v>
      </c>
      <c r="F176" s="54">
        <f t="shared" si="76"/>
        <v>18</v>
      </c>
      <c r="G176" s="54">
        <f t="shared" si="76"/>
        <v>0</v>
      </c>
      <c r="H176" s="54">
        <f t="shared" si="70"/>
        <v>6995</v>
      </c>
    </row>
    <row r="177" spans="1:8" x14ac:dyDescent="0.25">
      <c r="A177" s="54" t="s">
        <v>332</v>
      </c>
      <c r="B177" s="80">
        <f t="shared" ref="B177:G178" si="77">B149</f>
        <v>-1455</v>
      </c>
      <c r="C177" s="80">
        <f t="shared" si="77"/>
        <v>-7126</v>
      </c>
      <c r="D177" s="80">
        <f t="shared" si="77"/>
        <v>-1313</v>
      </c>
      <c r="E177" s="80">
        <f t="shared" si="77"/>
        <v>-1927</v>
      </c>
      <c r="F177" s="80">
        <f t="shared" si="77"/>
        <v>-152</v>
      </c>
      <c r="G177" s="80">
        <f t="shared" si="77"/>
        <v>-1351</v>
      </c>
      <c r="H177" s="19">
        <f t="shared" si="70"/>
        <v>-13324</v>
      </c>
    </row>
    <row r="178" spans="1:8" x14ac:dyDescent="0.25">
      <c r="A178" s="19" t="s">
        <v>307</v>
      </c>
      <c r="B178" s="19">
        <f>B150</f>
        <v>-1960</v>
      </c>
      <c r="C178" s="19">
        <f t="shared" si="77"/>
        <v>-1959</v>
      </c>
      <c r="D178" s="19">
        <f t="shared" si="77"/>
        <v>-1958</v>
      </c>
      <c r="E178" s="19">
        <f t="shared" si="77"/>
        <v>-1953</v>
      </c>
      <c r="F178" s="19">
        <f t="shared" si="77"/>
        <v>-3183</v>
      </c>
      <c r="G178" s="19">
        <f t="shared" si="77"/>
        <v>-2888</v>
      </c>
      <c r="H178" s="19">
        <f t="shared" si="70"/>
        <v>-13901</v>
      </c>
    </row>
    <row r="179" spans="1:8" x14ac:dyDescent="0.25">
      <c r="A179" s="54" t="s">
        <v>333</v>
      </c>
      <c r="B179" s="19">
        <f>B180-SUM(B172:B178)</f>
        <v>-358</v>
      </c>
      <c r="C179" s="19">
        <f t="shared" ref="C179:G179" si="78">C180-SUM(C172:C178)</f>
        <v>-258</v>
      </c>
      <c r="D179" s="19">
        <f t="shared" si="78"/>
        <v>51</v>
      </c>
      <c r="E179" s="19">
        <f t="shared" si="78"/>
        <v>-26</v>
      </c>
      <c r="F179" s="19">
        <f t="shared" si="78"/>
        <v>-136</v>
      </c>
      <c r="G179" s="19">
        <f t="shared" si="78"/>
        <v>160</v>
      </c>
      <c r="H179" s="19">
        <f t="shared" si="70"/>
        <v>-567</v>
      </c>
    </row>
    <row r="180" spans="1:8" ht="15.75" thickBot="1" x14ac:dyDescent="0.3">
      <c r="A180" s="19" t="s">
        <v>334</v>
      </c>
      <c r="B180" s="74" cm="1">
        <f t="array" ref="B180:G180">B154:G154</f>
        <v>-2405</v>
      </c>
      <c r="C180" s="74">
        <v>28</v>
      </c>
      <c r="D180" s="74">
        <v>1138</v>
      </c>
      <c r="E180" s="74">
        <v>1144</v>
      </c>
      <c r="F180" s="74">
        <v>-633</v>
      </c>
      <c r="G180" s="74">
        <v>-2486</v>
      </c>
      <c r="H180" s="87">
        <f t="shared" si="70"/>
        <v>-3214</v>
      </c>
    </row>
    <row r="181" spans="1:8" ht="15.75" thickTop="1" x14ac:dyDescent="0.25"/>
    <row r="184" spans="1:8" x14ac:dyDescent="0.25">
      <c r="A184" s="19" t="s">
        <v>325</v>
      </c>
      <c r="B184" s="60">
        <f>B114</f>
        <v>3952</v>
      </c>
      <c r="C184" s="60">
        <f t="shared" ref="C184:G184" si="79">C114</f>
        <v>4958</v>
      </c>
      <c r="D184" s="60">
        <f t="shared" si="79"/>
        <v>4471</v>
      </c>
      <c r="E184" s="60">
        <f t="shared" si="79"/>
        <v>3785</v>
      </c>
      <c r="F184" s="60">
        <f t="shared" si="79"/>
        <v>4637</v>
      </c>
      <c r="G184" s="60">
        <f t="shared" si="79"/>
        <v>3865</v>
      </c>
      <c r="H184" s="60"/>
    </row>
    <row r="185" spans="1:8" x14ac:dyDescent="0.25">
      <c r="A185" s="19" t="s">
        <v>329</v>
      </c>
      <c r="B185" s="19">
        <f>B172</f>
        <v>1553</v>
      </c>
      <c r="C185" s="19">
        <f t="shared" ref="C185:G185" si="80">C172</f>
        <v>4459</v>
      </c>
      <c r="D185" s="19">
        <f t="shared" si="80"/>
        <v>4333</v>
      </c>
      <c r="E185" s="19">
        <f t="shared" si="80"/>
        <v>2784</v>
      </c>
      <c r="F185" s="19">
        <f t="shared" si="80"/>
        <v>1748</v>
      </c>
      <c r="G185" s="19">
        <f t="shared" si="80"/>
        <v>-693</v>
      </c>
    </row>
    <row r="186" spans="1:8" x14ac:dyDescent="0.25">
      <c r="A186" s="19" t="s">
        <v>335</v>
      </c>
      <c r="B186" s="19">
        <f>B185+(B70*0.75)</f>
        <v>2243.75</v>
      </c>
      <c r="C186" s="19">
        <f t="shared" ref="C186:G186" si="81">C185+(C70*0.75)</f>
        <v>5994.25</v>
      </c>
      <c r="D186" s="19">
        <f t="shared" si="81"/>
        <v>5378.5</v>
      </c>
      <c r="E186" s="19">
        <f t="shared" si="81"/>
        <v>3804.75</v>
      </c>
      <c r="F186" s="19">
        <f t="shared" si="81"/>
        <v>2711</v>
      </c>
      <c r="G186" s="19">
        <f t="shared" si="81"/>
        <v>232.5</v>
      </c>
    </row>
    <row r="187" spans="1:8" x14ac:dyDescent="0.25">
      <c r="A187" s="19" t="s">
        <v>336</v>
      </c>
      <c r="B187" s="60">
        <f>B185+B177</f>
        <v>98</v>
      </c>
      <c r="C187" s="60">
        <f t="shared" ref="C187:G187" si="82">C185+C177</f>
        <v>-2667</v>
      </c>
      <c r="D187" s="60">
        <f t="shared" si="82"/>
        <v>3020</v>
      </c>
      <c r="E187" s="60">
        <f t="shared" si="82"/>
        <v>857</v>
      </c>
      <c r="F187" s="60">
        <f t="shared" si="82"/>
        <v>1596</v>
      </c>
      <c r="G187" s="60">
        <f t="shared" si="82"/>
        <v>-2044</v>
      </c>
      <c r="H187" s="60"/>
    </row>
    <row r="189" spans="1:8" x14ac:dyDescent="0.25">
      <c r="A189" s="19" t="s">
        <v>337</v>
      </c>
      <c r="B189" s="92">
        <f>-B171/B102</f>
        <v>0.98177920685959275</v>
      </c>
      <c r="C189" s="92">
        <f t="shared" ref="C189:F189" si="83">-C171/C102</f>
        <v>0.99450549450549453</v>
      </c>
      <c r="D189" s="92">
        <f t="shared" si="83"/>
        <v>0.61506707946336425</v>
      </c>
      <c r="E189" s="92">
        <f t="shared" si="83"/>
        <v>0.77263581488933597</v>
      </c>
      <c r="F189" s="92">
        <f t="shared" si="83"/>
        <v>0.84028484231943035</v>
      </c>
      <c r="G189" s="92">
        <f>-G171/G102</f>
        <v>1.1580989330746847</v>
      </c>
      <c r="H189" s="92"/>
    </row>
    <row r="190" spans="1:8" x14ac:dyDescent="0.25">
      <c r="A190" s="19" t="s">
        <v>338</v>
      </c>
      <c r="B190" s="92">
        <f>B14/B102</f>
        <v>10.279742765273312</v>
      </c>
      <c r="C190" s="92">
        <f t="shared" ref="C190:G190" si="84">C14/C102</f>
        <v>10.401098901098901</v>
      </c>
      <c r="D190" s="92">
        <f t="shared" si="84"/>
        <v>9.7296181630546954</v>
      </c>
      <c r="E190" s="92">
        <f t="shared" si="84"/>
        <v>9.0533199195171026</v>
      </c>
      <c r="F190" s="92">
        <f t="shared" si="84"/>
        <v>8.4221770091556465</v>
      </c>
      <c r="G190" s="92">
        <f t="shared" si="84"/>
        <v>7.3278370514064015</v>
      </c>
      <c r="H190" s="92"/>
    </row>
    <row r="191" spans="1:8" x14ac:dyDescent="0.25">
      <c r="A191" s="19" t="s">
        <v>339</v>
      </c>
      <c r="B191" s="92">
        <f>-B16/B102</f>
        <v>4.514469453376206</v>
      </c>
      <c r="C191" s="92">
        <f t="shared" ref="C191:G191" si="85">-C16/C102</f>
        <v>4.2505494505494505</v>
      </c>
      <c r="D191" s="92">
        <f t="shared" si="85"/>
        <v>3.6769865841073273</v>
      </c>
      <c r="E191" s="92">
        <f t="shared" si="85"/>
        <v>3.2062374245472838</v>
      </c>
      <c r="F191" s="92">
        <f t="shared" si="85"/>
        <v>2.6286876907426246</v>
      </c>
      <c r="G191" s="92">
        <f t="shared" si="85"/>
        <v>2.0261881668283221</v>
      </c>
      <c r="H191" s="92"/>
    </row>
    <row r="192" spans="1:8" x14ac:dyDescent="0.25">
      <c r="A192" s="19" t="s">
        <v>340</v>
      </c>
      <c r="B192" s="92">
        <f>B190-B191</f>
        <v>5.765273311897106</v>
      </c>
      <c r="C192" s="92">
        <f t="shared" ref="C192:G192" si="86">C190-C191</f>
        <v>6.1505494505494509</v>
      </c>
      <c r="D192" s="92">
        <f t="shared" si="86"/>
        <v>6.0526315789473681</v>
      </c>
      <c r="E192" s="92">
        <f t="shared" si="86"/>
        <v>5.8470824949698184</v>
      </c>
      <c r="F192" s="92">
        <f t="shared" si="86"/>
        <v>5.7934893184130214</v>
      </c>
      <c r="G192" s="92">
        <f t="shared" si="86"/>
        <v>5.3016488845780794</v>
      </c>
      <c r="H192" s="92"/>
    </row>
    <row r="193" spans="1:8" x14ac:dyDescent="0.25">
      <c r="A193" s="19" t="s">
        <v>341</v>
      </c>
      <c r="B193" s="83">
        <f>B191/B190</f>
        <v>0.4391617141069753</v>
      </c>
      <c r="C193" s="83">
        <f t="shared" ref="C193:G193" si="87">C191/C190</f>
        <v>0.4086634970945589</v>
      </c>
      <c r="D193" s="83">
        <f t="shared" si="87"/>
        <v>0.37791684344505727</v>
      </c>
      <c r="E193" s="83">
        <f t="shared" si="87"/>
        <v>0.35415046116235138</v>
      </c>
      <c r="F193" s="83">
        <f t="shared" si="87"/>
        <v>0.31211498973305951</v>
      </c>
      <c r="G193" s="83">
        <f t="shared" si="87"/>
        <v>0.27650562541363338</v>
      </c>
      <c r="H193" s="83"/>
    </row>
    <row r="194" spans="1:8" x14ac:dyDescent="0.25">
      <c r="A194" s="19" t="s">
        <v>342</v>
      </c>
      <c r="B194" s="58" t="s">
        <v>343</v>
      </c>
      <c r="C194" s="58" t="s">
        <v>343</v>
      </c>
      <c r="D194" s="58" t="s">
        <v>343</v>
      </c>
      <c r="E194" s="58" t="s">
        <v>343</v>
      </c>
      <c r="F194" s="58" t="s">
        <v>343</v>
      </c>
      <c r="G194" s="58" t="s">
        <v>343</v>
      </c>
      <c r="H194" s="58"/>
    </row>
    <row r="196" spans="1:8" x14ac:dyDescent="0.25">
      <c r="A196" s="19" t="s">
        <v>344</v>
      </c>
    </row>
    <row r="197" spans="1:8" x14ac:dyDescent="0.25">
      <c r="A197" s="19" t="s">
        <v>345</v>
      </c>
    </row>
    <row r="198" spans="1:8" x14ac:dyDescent="0.25">
      <c r="A198" s="19" t="s">
        <v>346</v>
      </c>
    </row>
    <row r="199" spans="1:8" x14ac:dyDescent="0.25">
      <c r="A199" s="19" t="s">
        <v>347</v>
      </c>
    </row>
    <row r="200" spans="1:8" x14ac:dyDescent="0.25">
      <c r="A200" s="19" t="s">
        <v>348</v>
      </c>
    </row>
    <row r="201" spans="1:8" x14ac:dyDescent="0.25">
      <c r="A201" s="19" t="s">
        <v>349</v>
      </c>
    </row>
    <row r="202" spans="1:8" x14ac:dyDescent="0.25">
      <c r="A202" s="19" t="s">
        <v>350</v>
      </c>
    </row>
    <row r="203" spans="1:8" x14ac:dyDescent="0.25">
      <c r="A203" s="19" t="s">
        <v>351</v>
      </c>
    </row>
    <row r="204" spans="1:8" x14ac:dyDescent="0.25">
      <c r="A204" s="19" t="s">
        <v>352</v>
      </c>
    </row>
    <row r="205" spans="1:8" x14ac:dyDescent="0.25">
      <c r="A205" s="19" t="s">
        <v>353</v>
      </c>
    </row>
    <row r="207" spans="1:8" x14ac:dyDescent="0.25">
      <c r="A207" s="19" t="s">
        <v>354</v>
      </c>
    </row>
    <row r="208" spans="1:8" x14ac:dyDescent="0.25">
      <c r="A208" s="19" t="s">
        <v>355</v>
      </c>
    </row>
    <row r="209" spans="1:7" x14ac:dyDescent="0.25">
      <c r="A209" s="19" t="s">
        <v>356</v>
      </c>
    </row>
    <row r="211" spans="1:7" x14ac:dyDescent="0.25">
      <c r="A211" s="75" t="str">
        <f>A1</f>
        <v>Kraft Heinz Company</v>
      </c>
      <c r="B211" s="75" t="str">
        <f>B1</f>
        <v>Reclassified</v>
      </c>
      <c r="C211" s="75"/>
      <c r="D211" s="75"/>
      <c r="E211" s="75"/>
      <c r="F211" s="75"/>
      <c r="G211" s="75"/>
    </row>
    <row r="212" spans="1:7" x14ac:dyDescent="0.25">
      <c r="A212" s="75" t="s">
        <v>357</v>
      </c>
      <c r="B212" s="75"/>
      <c r="C212" s="75"/>
      <c r="D212" s="75"/>
      <c r="E212" s="75"/>
      <c r="F212" s="75"/>
      <c r="G212" s="75"/>
    </row>
    <row r="213" spans="1:7" x14ac:dyDescent="0.25">
      <c r="A213" s="75" t="str">
        <f>A3</f>
        <v>in millions except per share data</v>
      </c>
      <c r="B213" s="75"/>
      <c r="C213" s="75"/>
      <c r="D213" s="75"/>
      <c r="E213" s="75"/>
      <c r="F213" s="75"/>
      <c r="G213" s="75"/>
    </row>
    <row r="214" spans="1:7" ht="15.75" thickBot="1" x14ac:dyDescent="0.3">
      <c r="A214" s="75" t="str">
        <f>A4</f>
        <v>Fiscal year ended 12/31:</v>
      </c>
      <c r="B214" s="69">
        <f>B165</f>
        <v>2022</v>
      </c>
      <c r="C214" s="69">
        <f t="shared" ref="C214:G214" si="88">C165</f>
        <v>2021</v>
      </c>
      <c r="D214" s="69">
        <f t="shared" si="88"/>
        <v>2020</v>
      </c>
      <c r="E214" s="69">
        <f t="shared" si="88"/>
        <v>2019</v>
      </c>
      <c r="F214" s="69">
        <f t="shared" si="88"/>
        <v>2018</v>
      </c>
      <c r="G214" s="69">
        <f t="shared" si="88"/>
        <v>2017</v>
      </c>
    </row>
    <row r="215" spans="1:7" x14ac:dyDescent="0.25">
      <c r="A215" s="92" t="s">
        <v>254</v>
      </c>
      <c r="B215" s="92">
        <f>B11-B28</f>
        <v>-1131</v>
      </c>
      <c r="C215" s="19">
        <f t="shared" ref="C215:G215" si="89">C11-C28</f>
        <v>-70</v>
      </c>
      <c r="D215" s="19">
        <f t="shared" si="89"/>
        <v>2761</v>
      </c>
      <c r="E215" s="19">
        <f t="shared" si="89"/>
        <v>222</v>
      </c>
      <c r="F215" s="19">
        <f t="shared" si="89"/>
        <v>1572</v>
      </c>
      <c r="G215" s="19">
        <f t="shared" si="89"/>
        <v>-2953</v>
      </c>
    </row>
    <row r="216" spans="1:7" x14ac:dyDescent="0.25">
      <c r="A216" s="92" t="s">
        <v>358</v>
      </c>
      <c r="B216" s="92">
        <f>B215+B23</f>
        <v>-294</v>
      </c>
      <c r="C216" s="19">
        <f t="shared" ref="C216:G216" si="90">C215+C23</f>
        <v>684</v>
      </c>
      <c r="D216" s="19">
        <f t="shared" si="90"/>
        <v>2997</v>
      </c>
      <c r="E216" s="19">
        <f t="shared" si="90"/>
        <v>1250</v>
      </c>
      <c r="F216" s="19">
        <f t="shared" si="90"/>
        <v>1970</v>
      </c>
      <c r="G216" s="19">
        <f t="shared" si="90"/>
        <v>242</v>
      </c>
    </row>
    <row r="217" spans="1:7" x14ac:dyDescent="0.25">
      <c r="A217" s="92" t="s">
        <v>359</v>
      </c>
      <c r="B217" s="92">
        <f>B216-B6-B7</f>
        <v>-1334</v>
      </c>
      <c r="C217" s="19">
        <f t="shared" ref="C217:G217" si="91">C216-C6-C7</f>
        <v>-2761</v>
      </c>
      <c r="D217" s="19">
        <f t="shared" si="91"/>
        <v>-420</v>
      </c>
      <c r="E217" s="19">
        <f t="shared" si="91"/>
        <v>-1029</v>
      </c>
      <c r="F217" s="19">
        <f t="shared" si="91"/>
        <v>840</v>
      </c>
      <c r="G217" s="19">
        <f t="shared" si="91"/>
        <v>-1387</v>
      </c>
    </row>
    <row r="218" spans="1:7" x14ac:dyDescent="0.25">
      <c r="A218" s="92"/>
      <c r="B218" s="92"/>
    </row>
    <row r="219" spans="1:7" x14ac:dyDescent="0.25">
      <c r="A219" s="92" t="s">
        <v>360</v>
      </c>
      <c r="B219" s="92">
        <f>B11/B28</f>
        <v>0.87472308373947716</v>
      </c>
      <c r="C219" s="92">
        <f t="shared" ref="C219:G219" si="92">C11/C28</f>
        <v>0.99227714033539272</v>
      </c>
      <c r="D219" s="92">
        <f t="shared" si="92"/>
        <v>1.342513335814415</v>
      </c>
      <c r="E219" s="92">
        <f t="shared" si="92"/>
        <v>1.0281904761904761</v>
      </c>
      <c r="F219" s="92">
        <f t="shared" si="92"/>
        <v>1.2095161935225909</v>
      </c>
      <c r="G219" s="92">
        <f t="shared" si="92"/>
        <v>0.70917864880835135</v>
      </c>
    </row>
    <row r="220" spans="1:7" x14ac:dyDescent="0.25">
      <c r="A220" s="92" t="s">
        <v>361</v>
      </c>
      <c r="B220" s="92">
        <f>SUM(B6:B8)/B28</f>
        <v>0.3500221533008418</v>
      </c>
      <c r="C220" s="92">
        <f t="shared" ref="C220:G220" si="93">SUM(C6:C8)/C28</f>
        <v>0.59598411297440423</v>
      </c>
      <c r="D220" s="92">
        <f t="shared" si="93"/>
        <v>0.67981639995037835</v>
      </c>
      <c r="E220" s="92">
        <f t="shared" si="93"/>
        <v>0.53993650793650794</v>
      </c>
      <c r="F220" s="92">
        <f t="shared" si="93"/>
        <v>0.43435958949753434</v>
      </c>
      <c r="G220" s="92">
        <f t="shared" si="93"/>
        <v>0.25113255859759703</v>
      </c>
    </row>
    <row r="221" spans="1:7" x14ac:dyDescent="0.25">
      <c r="A221" s="92" t="s">
        <v>362</v>
      </c>
      <c r="B221" s="92">
        <f>SUM(B6:B7)/B28</f>
        <v>0.11519716437749225</v>
      </c>
      <c r="C221" s="92">
        <f t="shared" ref="C221:G221" si="94">SUM(C6:C7)/C28</f>
        <v>0.38007502206531335</v>
      </c>
      <c r="D221" s="92">
        <f t="shared" si="94"/>
        <v>0.423892817268329</v>
      </c>
      <c r="E221" s="92">
        <f t="shared" si="94"/>
        <v>0.28939682539682537</v>
      </c>
      <c r="F221" s="92">
        <f t="shared" si="94"/>
        <v>0.15060642409702785</v>
      </c>
      <c r="G221" s="92">
        <f t="shared" si="94"/>
        <v>0.16042938743352372</v>
      </c>
    </row>
    <row r="222" spans="1:7" x14ac:dyDescent="0.25">
      <c r="A222" s="92"/>
      <c r="B222" s="92"/>
    </row>
    <row r="223" spans="1:7" x14ac:dyDescent="0.25">
      <c r="A223" s="92" t="s">
        <v>363</v>
      </c>
      <c r="B223" s="92"/>
    </row>
    <row r="224" spans="1:7" x14ac:dyDescent="0.25">
      <c r="A224" s="93" t="s">
        <v>364</v>
      </c>
      <c r="B224" s="92">
        <f>B60/AVERAGE(B8:C8)</f>
        <v>12.992396369879813</v>
      </c>
      <c r="C224" s="92">
        <f t="shared" ref="C224:G224" si="95">C60/AVERAGE(C8:D8)</f>
        <v>12.956218905472637</v>
      </c>
      <c r="D224" s="92">
        <f t="shared" si="95"/>
        <v>12.975718533201189</v>
      </c>
      <c r="E224" s="92">
        <f t="shared" si="95"/>
        <v>12.177961969770843</v>
      </c>
      <c r="F224" s="92">
        <f t="shared" si="95"/>
        <v>17.224918032786885</v>
      </c>
      <c r="G224" s="92">
        <f t="shared" si="95"/>
        <v>28.312703583061889</v>
      </c>
    </row>
    <row r="225" spans="1:7" x14ac:dyDescent="0.25">
      <c r="A225" s="93" t="s">
        <v>365</v>
      </c>
      <c r="B225" s="92">
        <f>B61/AVERAGE(B9:C9)</f>
        <v>5.7564263322884015</v>
      </c>
      <c r="C225" s="92">
        <f t="shared" ref="C225:G225" si="96">C61/AVERAGE(C9:D9)</f>
        <v>6.5720234715123986</v>
      </c>
      <c r="D225" s="92">
        <f t="shared" si="96"/>
        <v>6.4485308056872039</v>
      </c>
      <c r="E225" s="92">
        <f t="shared" si="96"/>
        <v>6.2472160356347439</v>
      </c>
      <c r="F225" s="92">
        <f t="shared" si="96"/>
        <v>6.3928505620047913</v>
      </c>
      <c r="G225" s="92">
        <f t="shared" si="96"/>
        <v>6.1749999999999998</v>
      </c>
    </row>
    <row r="226" spans="1:7" x14ac:dyDescent="0.25">
      <c r="A226" s="93" t="s">
        <v>366</v>
      </c>
      <c r="B226" s="92">
        <f>B241/AVERAGE(B24:C24)</f>
        <v>4.0587438808457454</v>
      </c>
      <c r="C226" s="92">
        <f t="shared" ref="C226:G226" si="97">C241/AVERAGE(C24:D24)</f>
        <v>3.8652975598984209</v>
      </c>
      <c r="D226" s="92">
        <f t="shared" si="97"/>
        <v>4.1548091970627183</v>
      </c>
      <c r="E226" s="92">
        <f t="shared" si="97"/>
        <v>4.1949485041687105</v>
      </c>
      <c r="F226" s="92">
        <f t="shared" si="97"/>
        <v>4.1334116265413972</v>
      </c>
      <c r="G226" s="92">
        <f t="shared" si="97"/>
        <v>3.9612563044475011</v>
      </c>
    </row>
    <row r="227" spans="1:7" x14ac:dyDescent="0.25">
      <c r="A227" s="92"/>
      <c r="B227" s="92"/>
      <c r="C227" s="92"/>
      <c r="D227" s="92"/>
      <c r="E227" s="92"/>
      <c r="F227" s="92"/>
    </row>
    <row r="228" spans="1:7" x14ac:dyDescent="0.25">
      <c r="A228" s="92" t="s">
        <v>367</v>
      </c>
      <c r="B228" s="92"/>
      <c r="C228" s="92"/>
      <c r="D228" s="92"/>
      <c r="E228" s="92"/>
      <c r="F228" s="92"/>
    </row>
    <row r="229" spans="1:7" x14ac:dyDescent="0.25">
      <c r="A229" s="94" t="s">
        <v>368</v>
      </c>
      <c r="B229" s="92">
        <f>360/B224</f>
        <v>27.708514253350955</v>
      </c>
      <c r="C229" s="92">
        <f t="shared" ref="C229:F229" si="98">360/C224</f>
        <v>27.78588434068044</v>
      </c>
      <c r="D229" s="92">
        <f t="shared" si="98"/>
        <v>27.744128317739165</v>
      </c>
      <c r="E229" s="92">
        <f t="shared" si="98"/>
        <v>29.561596668935422</v>
      </c>
      <c r="F229" s="92">
        <f t="shared" si="98"/>
        <v>20.899954317039743</v>
      </c>
      <c r="G229" s="92">
        <f t="shared" ref="G229" si="99">360/G224</f>
        <v>12.715140358950759</v>
      </c>
    </row>
    <row r="230" spans="1:7" x14ac:dyDescent="0.25">
      <c r="A230" s="94" t="s">
        <v>369</v>
      </c>
      <c r="B230" s="92">
        <f>360/B225</f>
        <v>62.53880084953439</v>
      </c>
      <c r="C230" s="92">
        <f t="shared" ref="C230:F230" si="100">360/C225</f>
        <v>54.777649769585253</v>
      </c>
      <c r="D230" s="92">
        <f t="shared" si="100"/>
        <v>55.826669802445906</v>
      </c>
      <c r="E230" s="92">
        <f t="shared" si="100"/>
        <v>57.62566844919786</v>
      </c>
      <c r="F230" s="92">
        <f t="shared" si="100"/>
        <v>56.312907130916003</v>
      </c>
      <c r="G230" s="92">
        <f t="shared" ref="G230" si="101">360/G225</f>
        <v>58.299595141700408</v>
      </c>
    </row>
    <row r="231" spans="1:7" x14ac:dyDescent="0.25">
      <c r="A231" s="93" t="s">
        <v>370</v>
      </c>
      <c r="B231" s="95">
        <f>B229+B230</f>
        <v>90.247315102885352</v>
      </c>
      <c r="C231" s="95">
        <f t="shared" ref="C231:F231" si="102">C229+C230</f>
        <v>82.563534110265692</v>
      </c>
      <c r="D231" s="95">
        <f t="shared" si="102"/>
        <v>83.570798120185074</v>
      </c>
      <c r="E231" s="95">
        <f t="shared" si="102"/>
        <v>87.187265118133283</v>
      </c>
      <c r="F231" s="95">
        <f t="shared" si="102"/>
        <v>77.212861447955746</v>
      </c>
      <c r="G231" s="95">
        <f t="shared" ref="G231" si="103">G229+G230</f>
        <v>71.01473550065117</v>
      </c>
    </row>
    <row r="232" spans="1:7" x14ac:dyDescent="0.25">
      <c r="A232" s="94" t="s">
        <v>371</v>
      </c>
      <c r="B232" s="92">
        <f>360/B226</f>
        <v>88.697392732498457</v>
      </c>
      <c r="C232" s="92">
        <f t="shared" ref="C232:F232" si="104">360/C226</f>
        <v>93.136425959780624</v>
      </c>
      <c r="D232" s="92">
        <f t="shared" si="104"/>
        <v>86.646578200150657</v>
      </c>
      <c r="E232" s="92">
        <f t="shared" si="104"/>
        <v>85.817501607529081</v>
      </c>
      <c r="F232" s="92">
        <f t="shared" si="104"/>
        <v>87.095124445959783</v>
      </c>
      <c r="G232" s="92">
        <f t="shared" ref="G232" si="105">360/G226</f>
        <v>90.880259274263551</v>
      </c>
    </row>
    <row r="233" spans="1:7" ht="15.75" thickBot="1" x14ac:dyDescent="0.3">
      <c r="A233" s="93" t="s">
        <v>372</v>
      </c>
      <c r="B233" s="96">
        <f>B231-B232</f>
        <v>1.549922370386895</v>
      </c>
      <c r="C233" s="96">
        <f t="shared" ref="C233:F233" si="106">C231-C232</f>
        <v>-10.572891849514932</v>
      </c>
      <c r="D233" s="96">
        <f t="shared" si="106"/>
        <v>-3.0757800799655826</v>
      </c>
      <c r="E233" s="96">
        <f t="shared" si="106"/>
        <v>1.3697635106042014</v>
      </c>
      <c r="F233" s="96">
        <f t="shared" si="106"/>
        <v>-9.8822629980040375</v>
      </c>
      <c r="G233" s="96">
        <f t="shared" ref="G233" si="107">G231-G232</f>
        <v>-19.865523773612381</v>
      </c>
    </row>
    <row r="234" spans="1:7" ht="15.75" thickTop="1" x14ac:dyDescent="0.25">
      <c r="A234" s="92"/>
      <c r="B234" s="92"/>
    </row>
    <row r="235" spans="1:7" x14ac:dyDescent="0.25">
      <c r="A235" s="92" t="s">
        <v>373</v>
      </c>
      <c r="B235" s="92"/>
    </row>
    <row r="236" spans="1:7" x14ac:dyDescent="0.25">
      <c r="A236" s="93" t="s">
        <v>374</v>
      </c>
      <c r="B236" s="92">
        <f>B8/(B60/365)</f>
        <v>29.216537662828017</v>
      </c>
      <c r="C236" s="92">
        <f t="shared" ref="C236:F236" si="108">C8/(C60/365)</f>
        <v>27.428960909300361</v>
      </c>
      <c r="D236" s="92">
        <f t="shared" si="108"/>
        <v>28.756730952835596</v>
      </c>
      <c r="E236" s="92">
        <f t="shared" si="108"/>
        <v>28.83232573968051</v>
      </c>
      <c r="F236" s="92">
        <f t="shared" si="108"/>
        <v>29.582952641997871</v>
      </c>
      <c r="G236" s="92">
        <f>G8/(G60/365)</f>
        <v>12.891739530602852</v>
      </c>
    </row>
    <row r="237" spans="1:7" x14ac:dyDescent="0.25">
      <c r="A237" s="93" t="s">
        <v>375</v>
      </c>
      <c r="B237" s="92">
        <f>B9/(B61/365)</f>
        <v>72.570658389152101</v>
      </c>
      <c r="C237" s="92">
        <f t="shared" ref="C237:G237" si="109">C9/(C61/365)</f>
        <v>57.378168202764982</v>
      </c>
      <c r="D237" s="92">
        <f t="shared" si="109"/>
        <v>54.810089369708372</v>
      </c>
      <c r="E237" s="92">
        <f t="shared" si="109"/>
        <v>59.011586452762927</v>
      </c>
      <c r="F237" s="92">
        <f t="shared" si="109"/>
        <v>56.116619588401456</v>
      </c>
      <c r="G237" s="92">
        <f t="shared" si="109"/>
        <v>59.109311740890682</v>
      </c>
    </row>
    <row r="238" spans="1:7" x14ac:dyDescent="0.25">
      <c r="A238" s="93" t="s">
        <v>376</v>
      </c>
      <c r="B238" s="92">
        <f>B24/(B241/365)</f>
        <v>90.819133648121536</v>
      </c>
      <c r="C238" s="92">
        <f t="shared" ref="C238:G238" si="110">C24/(C241/365)</f>
        <v>99.111345978062161</v>
      </c>
      <c r="D238" s="92">
        <f t="shared" si="110"/>
        <v>91.033203917250972</v>
      </c>
      <c r="E238" s="92">
        <f t="shared" si="110"/>
        <v>85.409189220786814</v>
      </c>
      <c r="F238" s="92">
        <f t="shared" si="110"/>
        <v>86.137345152858273</v>
      </c>
      <c r="G238" s="92">
        <f t="shared" si="110"/>
        <v>92.142485097517209</v>
      </c>
    </row>
    <row r="239" spans="1:7" x14ac:dyDescent="0.25">
      <c r="A239" s="92"/>
      <c r="B239" s="92"/>
    </row>
    <row r="240" spans="1:7" x14ac:dyDescent="0.25">
      <c r="A240" s="92" t="s">
        <v>377</v>
      </c>
      <c r="B240" s="97">
        <f>B60+B116</f>
        <v>26257</v>
      </c>
      <c r="C240" s="60">
        <f t="shared" ref="C240:G240" si="111">C60+C116</f>
        <v>26129</v>
      </c>
      <c r="D240" s="60">
        <f t="shared" si="111"/>
        <v>26159</v>
      </c>
      <c r="E240" s="60">
        <f t="shared" si="111"/>
        <v>25117</v>
      </c>
      <c r="F240" s="60">
        <f t="shared" si="111"/>
        <v>23988</v>
      </c>
      <c r="G240" s="60">
        <f t="shared" si="111"/>
        <v>23447</v>
      </c>
    </row>
    <row r="241" spans="1:8" x14ac:dyDescent="0.25">
      <c r="A241" s="92" t="s">
        <v>378</v>
      </c>
      <c r="B241" s="92">
        <f>B61-B117</f>
        <v>19484</v>
      </c>
      <c r="C241" s="19">
        <f t="shared" ref="C241:G241" si="112">C61-C117</f>
        <v>17504</v>
      </c>
      <c r="D241" s="19">
        <f t="shared" si="112"/>
        <v>17257</v>
      </c>
      <c r="E241" s="19">
        <f t="shared" si="112"/>
        <v>17107</v>
      </c>
      <c r="F241" s="19">
        <f t="shared" si="112"/>
        <v>17598</v>
      </c>
      <c r="G241" s="19">
        <f t="shared" si="112"/>
        <v>17279</v>
      </c>
    </row>
    <row r="242" spans="1:8" x14ac:dyDescent="0.25">
      <c r="A242" s="92" t="s">
        <v>298</v>
      </c>
      <c r="B242" s="92">
        <f>B241-B118</f>
        <v>19332</v>
      </c>
      <c r="C242" s="19">
        <f t="shared" ref="C242:G242" si="113">C241-C118</f>
        <v>17096</v>
      </c>
      <c r="D242" s="19">
        <f t="shared" si="113"/>
        <v>17050</v>
      </c>
      <c r="E242" s="19">
        <f t="shared" si="113"/>
        <v>17165</v>
      </c>
      <c r="F242" s="19">
        <f t="shared" si="113"/>
        <v>17621</v>
      </c>
      <c r="G242" s="19">
        <f t="shared" si="113"/>
        <v>16838</v>
      </c>
    </row>
    <row r="243" spans="1:8" x14ac:dyDescent="0.25">
      <c r="A243" s="92" t="s">
        <v>379</v>
      </c>
      <c r="B243" s="92">
        <f>B240-B121</f>
        <v>23788</v>
      </c>
      <c r="C243" s="19">
        <f t="shared" ref="C243:G243" si="114">C240-C121</f>
        <v>20765</v>
      </c>
      <c r="D243" s="19">
        <f t="shared" si="114"/>
        <v>21230</v>
      </c>
      <c r="E243" s="19">
        <f t="shared" si="114"/>
        <v>21565</v>
      </c>
      <c r="F243" s="19">
        <f t="shared" si="114"/>
        <v>21414</v>
      </c>
      <c r="G243" s="19">
        <f t="shared" si="114"/>
        <v>22946</v>
      </c>
    </row>
    <row r="244" spans="1:8" x14ac:dyDescent="0.25">
      <c r="A244" s="92" t="s">
        <v>380</v>
      </c>
      <c r="B244" s="92">
        <f>B240/365</f>
        <v>71.936986301369856</v>
      </c>
      <c r="C244" s="19">
        <f t="shared" ref="C244:G244" si="115">C240/365</f>
        <v>71.586301369863008</v>
      </c>
      <c r="D244" s="19">
        <f t="shared" si="115"/>
        <v>71.668493150684938</v>
      </c>
      <c r="E244" s="19">
        <f t="shared" si="115"/>
        <v>68.813698630136983</v>
      </c>
      <c r="F244" s="19">
        <f t="shared" si="115"/>
        <v>65.720547945205482</v>
      </c>
      <c r="G244" s="19">
        <f t="shared" si="115"/>
        <v>64.238356164383561</v>
      </c>
    </row>
    <row r="245" spans="1:8" x14ac:dyDescent="0.25">
      <c r="A245" s="92" t="s">
        <v>381</v>
      </c>
      <c r="B245" s="97">
        <f>B241/365</f>
        <v>53.38082191780822</v>
      </c>
      <c r="C245" s="60">
        <f t="shared" ref="C245:G245" si="116">C241/365</f>
        <v>47.956164383561642</v>
      </c>
      <c r="D245" s="60">
        <f t="shared" si="116"/>
        <v>47.279452054794518</v>
      </c>
      <c r="E245" s="60">
        <f t="shared" si="116"/>
        <v>46.868493150684934</v>
      </c>
      <c r="F245" s="60">
        <f t="shared" si="116"/>
        <v>48.213698630136989</v>
      </c>
      <c r="G245" s="60">
        <f t="shared" si="116"/>
        <v>47.339726027397262</v>
      </c>
    </row>
    <row r="247" spans="1:8" s="53" customFormat="1" x14ac:dyDescent="0.25">
      <c r="A247" s="66" t="str">
        <f>+A1</f>
        <v>Kraft Heinz Company</v>
      </c>
      <c r="B247" s="66" t="str">
        <f>+B1</f>
        <v>Reclassified</v>
      </c>
      <c r="C247" s="66"/>
      <c r="D247" s="66"/>
      <c r="E247" s="66"/>
      <c r="F247" s="66"/>
      <c r="G247" s="66"/>
    </row>
    <row r="248" spans="1:8" s="53" customFormat="1" x14ac:dyDescent="0.25">
      <c r="A248" s="66" t="s">
        <v>184</v>
      </c>
      <c r="B248" s="66"/>
      <c r="C248" s="66"/>
      <c r="D248" s="66"/>
      <c r="E248" s="66"/>
      <c r="F248" s="66"/>
      <c r="G248" s="66"/>
    </row>
    <row r="249" spans="1:8" s="53" customFormat="1" x14ac:dyDescent="0.25">
      <c r="A249" s="66" t="str">
        <f>+A3</f>
        <v>in millions except per share data</v>
      </c>
      <c r="B249" s="66"/>
      <c r="C249" s="66"/>
      <c r="D249" s="66"/>
      <c r="E249" s="66"/>
      <c r="F249" s="66" t="s">
        <v>262</v>
      </c>
      <c r="G249" s="72" t="s">
        <v>66</v>
      </c>
      <c r="H249" s="65"/>
    </row>
    <row r="250" spans="1:8" s="53" customFormat="1" ht="15.75" thickBot="1" x14ac:dyDescent="0.3">
      <c r="A250" s="67" t="str">
        <f>+A4</f>
        <v>Fiscal year ended 12/31:</v>
      </c>
      <c r="B250" s="69">
        <v>2022</v>
      </c>
      <c r="C250" s="69">
        <v>2021</v>
      </c>
      <c r="D250" s="69">
        <v>2020</v>
      </c>
      <c r="E250" s="69">
        <v>2019</v>
      </c>
      <c r="F250" s="69">
        <v>2018</v>
      </c>
      <c r="G250" s="69">
        <v>2017</v>
      </c>
      <c r="H250" s="77"/>
    </row>
    <row r="251" spans="1:8" s="20" customFormat="1" x14ac:dyDescent="0.25">
      <c r="A251" s="20" t="s">
        <v>185</v>
      </c>
      <c r="B251" s="23">
        <v>945</v>
      </c>
      <c r="C251" s="23">
        <v>1039</v>
      </c>
      <c r="D251" s="23">
        <v>1070</v>
      </c>
      <c r="E251" s="23">
        <v>1100</v>
      </c>
      <c r="F251" s="23">
        <v>1140</v>
      </c>
      <c r="G251" s="23">
        <v>1115</v>
      </c>
      <c r="H251" s="23"/>
    </row>
    <row r="252" spans="1:8" s="20" customFormat="1" x14ac:dyDescent="0.25">
      <c r="A252" s="20" t="s">
        <v>186</v>
      </c>
      <c r="B252" s="22">
        <v>127</v>
      </c>
      <c r="C252" s="22">
        <v>140</v>
      </c>
      <c r="D252" s="22">
        <v>119</v>
      </c>
      <c r="E252" s="22">
        <v>112</v>
      </c>
      <c r="F252" s="22">
        <v>109</v>
      </c>
      <c r="G252" s="22">
        <v>93</v>
      </c>
      <c r="H252" s="22"/>
    </row>
    <row r="253" spans="1:8" s="20" customFormat="1" x14ac:dyDescent="0.25">
      <c r="B253" s="21"/>
      <c r="C253" s="21"/>
      <c r="D253" s="21"/>
      <c r="E253" s="21"/>
      <c r="F253" s="21"/>
      <c r="G253" s="21"/>
      <c r="H253" s="21"/>
    </row>
    <row r="254" spans="1:8" x14ac:dyDescent="0.25">
      <c r="A254" s="19" t="s">
        <v>187</v>
      </c>
      <c r="B254" s="60">
        <v>200</v>
      </c>
      <c r="C254" s="60">
        <v>207</v>
      </c>
      <c r="D254" s="60">
        <v>219</v>
      </c>
      <c r="E254" s="60">
        <v>210</v>
      </c>
      <c r="F254" s="60">
        <v>218</v>
      </c>
      <c r="G254" s="60">
        <v>250</v>
      </c>
      <c r="H254" s="60"/>
    </row>
    <row r="255" spans="1:8" x14ac:dyDescent="0.25">
      <c r="A255" s="19" t="s">
        <v>188</v>
      </c>
      <c r="B255" s="19">
        <v>1161</v>
      </c>
      <c r="C255" s="19">
        <v>1002</v>
      </c>
      <c r="D255" s="19">
        <v>792</v>
      </c>
      <c r="E255" s="19">
        <v>1033</v>
      </c>
      <c r="F255" s="19">
        <v>1165</v>
      </c>
      <c r="G255" s="19">
        <v>1345</v>
      </c>
    </row>
    <row r="256" spans="1:8" x14ac:dyDescent="0.25">
      <c r="A256" s="19" t="s">
        <v>189</v>
      </c>
      <c r="B256" s="19">
        <f>+B257-B255-B254</f>
        <v>9591</v>
      </c>
      <c r="C256" s="19">
        <f t="shared" ref="C256:G256" si="117">+C257-C255-C254</f>
        <v>9465</v>
      </c>
      <c r="D256" s="19">
        <f t="shared" si="117"/>
        <v>9428</v>
      </c>
      <c r="E256" s="19">
        <f t="shared" si="117"/>
        <v>8999</v>
      </c>
      <c r="F256" s="19">
        <f t="shared" si="117"/>
        <v>8279</v>
      </c>
      <c r="G256" s="19">
        <f t="shared" si="117"/>
        <v>7555</v>
      </c>
    </row>
    <row r="257" spans="1:8" x14ac:dyDescent="0.25">
      <c r="A257" s="19" t="s">
        <v>190</v>
      </c>
      <c r="B257" s="57">
        <f>+B259-B258</f>
        <v>10952</v>
      </c>
      <c r="C257" s="57">
        <f t="shared" ref="C257:G257" si="118">+C259-C258</f>
        <v>10674</v>
      </c>
      <c r="D257" s="57">
        <f t="shared" si="118"/>
        <v>10439</v>
      </c>
      <c r="E257" s="57">
        <f t="shared" si="118"/>
        <v>10242</v>
      </c>
      <c r="F257" s="57">
        <f t="shared" si="118"/>
        <v>9662</v>
      </c>
      <c r="G257" s="57">
        <f t="shared" si="118"/>
        <v>9150</v>
      </c>
      <c r="H257" s="80"/>
    </row>
    <row r="258" spans="1:8" x14ac:dyDescent="0.25">
      <c r="A258" s="19" t="s">
        <v>191</v>
      </c>
      <c r="B258" s="19">
        <v>-4212</v>
      </c>
      <c r="C258" s="19">
        <v>-3868</v>
      </c>
      <c r="D258" s="19">
        <v>-3563</v>
      </c>
      <c r="E258" s="19">
        <v>-3187</v>
      </c>
      <c r="F258" s="19">
        <v>-2584</v>
      </c>
      <c r="G258" s="19">
        <v>-2089</v>
      </c>
    </row>
    <row r="259" spans="1:8" ht="15.75" thickBot="1" x14ac:dyDescent="0.3">
      <c r="A259" s="19" t="s">
        <v>22</v>
      </c>
      <c r="B259" s="74">
        <f t="shared" ref="B259:G259" si="119">+B17</f>
        <v>6740</v>
      </c>
      <c r="C259" s="74">
        <f t="shared" si="119"/>
        <v>6806</v>
      </c>
      <c r="D259" s="74">
        <f t="shared" si="119"/>
        <v>6876</v>
      </c>
      <c r="E259" s="74">
        <f t="shared" si="119"/>
        <v>7055</v>
      </c>
      <c r="F259" s="74">
        <f t="shared" si="119"/>
        <v>7078</v>
      </c>
      <c r="G259" s="74">
        <f t="shared" si="119"/>
        <v>7061</v>
      </c>
      <c r="H259" s="85"/>
    </row>
    <row r="260" spans="1:8" ht="15.75" thickTop="1" x14ac:dyDescent="0.25"/>
    <row r="261" spans="1:8" x14ac:dyDescent="0.25">
      <c r="A261" s="19" t="s">
        <v>192</v>
      </c>
      <c r="B261" s="60">
        <v>672</v>
      </c>
      <c r="C261" s="60">
        <v>671</v>
      </c>
      <c r="D261" s="60">
        <v>705</v>
      </c>
      <c r="E261" s="60">
        <v>708</v>
      </c>
      <c r="F261" s="60">
        <v>693</v>
      </c>
      <c r="G261" s="60">
        <v>680</v>
      </c>
      <c r="H261" s="60"/>
    </row>
    <row r="263" spans="1:8" x14ac:dyDescent="0.25">
      <c r="A263" s="19" t="s">
        <v>193</v>
      </c>
      <c r="B263" s="60">
        <v>668</v>
      </c>
      <c r="C263" s="60">
        <v>569</v>
      </c>
      <c r="D263" s="60">
        <v>562</v>
      </c>
      <c r="E263" s="60">
        <v>542</v>
      </c>
      <c r="F263" s="60">
        <v>0</v>
      </c>
      <c r="G263" s="60">
        <v>0</v>
      </c>
      <c r="H263" s="60"/>
    </row>
    <row r="264" spans="1:8" x14ac:dyDescent="0.25">
      <c r="A264" s="19" t="s">
        <v>194</v>
      </c>
      <c r="B264" s="19">
        <v>125</v>
      </c>
      <c r="C264" s="19">
        <v>133</v>
      </c>
      <c r="D264" s="19">
        <v>135</v>
      </c>
      <c r="E264" s="19">
        <v>147</v>
      </c>
      <c r="F264" s="19">
        <v>0</v>
      </c>
      <c r="G264" s="19">
        <v>0</v>
      </c>
    </row>
    <row r="265" spans="1:8" x14ac:dyDescent="0.25">
      <c r="A265" s="19" t="s">
        <v>195</v>
      </c>
      <c r="B265" s="60">
        <v>585</v>
      </c>
      <c r="C265" s="60">
        <v>484</v>
      </c>
      <c r="D265" s="60">
        <v>475</v>
      </c>
      <c r="E265" s="60">
        <v>454</v>
      </c>
      <c r="F265" s="60">
        <v>0</v>
      </c>
      <c r="G265" s="60">
        <v>0</v>
      </c>
      <c r="H265" s="60"/>
    </row>
    <row r="268" spans="1:8" x14ac:dyDescent="0.25">
      <c r="A268" s="66" t="str">
        <f>+A1</f>
        <v>Kraft Heinz Company</v>
      </c>
      <c r="B268" s="66" t="str">
        <f>+B1</f>
        <v>Reclassified</v>
      </c>
      <c r="C268" s="66"/>
      <c r="D268" s="66"/>
      <c r="E268" s="66"/>
      <c r="F268" s="66"/>
      <c r="G268" s="66"/>
      <c r="H268" s="53"/>
    </row>
    <row r="269" spans="1:8" x14ac:dyDescent="0.25">
      <c r="A269" s="66" t="s">
        <v>309</v>
      </c>
      <c r="B269" s="66"/>
      <c r="C269" s="66"/>
      <c r="D269" s="66"/>
      <c r="E269" s="66"/>
      <c r="F269" s="66"/>
      <c r="G269" s="66"/>
      <c r="H269" s="53"/>
    </row>
    <row r="270" spans="1:8" x14ac:dyDescent="0.25">
      <c r="A270" s="66" t="str">
        <f>+A3</f>
        <v>in millions except per share data</v>
      </c>
      <c r="B270" s="66"/>
      <c r="C270" s="66"/>
      <c r="D270" s="66"/>
      <c r="E270" s="66"/>
      <c r="F270" s="66" t="s">
        <v>262</v>
      </c>
      <c r="G270" s="72" t="s">
        <v>66</v>
      </c>
      <c r="H270" s="65"/>
    </row>
    <row r="271" spans="1:8" ht="15.75" thickBot="1" x14ac:dyDescent="0.3">
      <c r="A271" s="67" t="str">
        <f>+A4</f>
        <v>Fiscal year ended 12/31:</v>
      </c>
      <c r="B271" s="69">
        <v>2022</v>
      </c>
      <c r="C271" s="69">
        <v>2021</v>
      </c>
      <c r="D271" s="69">
        <v>2020</v>
      </c>
      <c r="E271" s="69">
        <v>2019</v>
      </c>
      <c r="F271" s="69">
        <v>2018</v>
      </c>
      <c r="G271" s="69">
        <v>2017</v>
      </c>
      <c r="H271" s="77"/>
    </row>
    <row r="272" spans="1:8" x14ac:dyDescent="0.25">
      <c r="A272" s="54" t="s">
        <v>79</v>
      </c>
      <c r="B272" s="60">
        <v>0</v>
      </c>
      <c r="C272" s="60">
        <v>0</v>
      </c>
      <c r="D272" s="60">
        <v>0</v>
      </c>
      <c r="E272" s="60">
        <v>0</v>
      </c>
      <c r="F272" s="60">
        <v>152</v>
      </c>
      <c r="G272" s="60">
        <v>538</v>
      </c>
      <c r="H272" s="60"/>
    </row>
    <row r="273" spans="1:8" x14ac:dyDescent="0.25">
      <c r="A273" s="54" t="s">
        <v>80</v>
      </c>
      <c r="B273" s="19">
        <v>240</v>
      </c>
      <c r="C273" s="19">
        <v>136</v>
      </c>
      <c r="D273" s="19">
        <v>351</v>
      </c>
      <c r="E273" s="19">
        <v>384</v>
      </c>
      <c r="F273" s="19">
        <v>400</v>
      </c>
      <c r="G273" s="19">
        <v>345</v>
      </c>
    </row>
    <row r="274" spans="1:8" x14ac:dyDescent="0.25">
      <c r="A274" s="54" t="s">
        <v>20</v>
      </c>
      <c r="B274" s="19">
        <v>842</v>
      </c>
      <c r="C274" s="19">
        <v>716</v>
      </c>
      <c r="D274" s="19">
        <v>574</v>
      </c>
      <c r="E274" s="19">
        <v>618</v>
      </c>
      <c r="F274" s="19">
        <v>1221</v>
      </c>
      <c r="G274" s="19">
        <v>655</v>
      </c>
    </row>
    <row r="275" spans="1:8" x14ac:dyDescent="0.25">
      <c r="A275" s="54" t="s">
        <v>81</v>
      </c>
      <c r="B275" s="19">
        <v>4</v>
      </c>
      <c r="C275" s="19">
        <v>11</v>
      </c>
      <c r="D275" s="19">
        <v>1863</v>
      </c>
      <c r="E275" s="19">
        <v>122</v>
      </c>
      <c r="F275" s="19">
        <v>1376</v>
      </c>
      <c r="G275" s="19">
        <v>353</v>
      </c>
    </row>
    <row r="276" spans="1:8" ht="15.75" thickBot="1" x14ac:dyDescent="0.3">
      <c r="A276" s="19" t="s">
        <v>20</v>
      </c>
      <c r="B276" s="74">
        <f>SUM(B272:B275)</f>
        <v>1086</v>
      </c>
      <c r="C276" s="74">
        <f t="shared" ref="C276:G276" si="120">SUM(C272:C275)</f>
        <v>863</v>
      </c>
      <c r="D276" s="74">
        <f t="shared" si="120"/>
        <v>2788</v>
      </c>
      <c r="E276" s="74">
        <f t="shared" si="120"/>
        <v>1124</v>
      </c>
      <c r="F276" s="74">
        <f t="shared" si="120"/>
        <v>3149</v>
      </c>
      <c r="G276" s="74">
        <f t="shared" si="120"/>
        <v>1891</v>
      </c>
      <c r="H276" s="85"/>
    </row>
    <row r="277" spans="1:8" ht="15.75" thickTop="1" x14ac:dyDescent="0.25"/>
    <row r="278" spans="1:8" x14ac:dyDescent="0.25">
      <c r="A278" s="54" t="s">
        <v>23</v>
      </c>
      <c r="B278" s="60">
        <v>30833</v>
      </c>
      <c r="C278" s="60">
        <v>31296</v>
      </c>
      <c r="D278" s="60">
        <v>33089</v>
      </c>
      <c r="E278" s="60">
        <v>35546</v>
      </c>
      <c r="F278" s="60">
        <v>36503</v>
      </c>
      <c r="G278" s="60">
        <v>44825</v>
      </c>
      <c r="H278" s="60"/>
    </row>
    <row r="279" spans="1:8" x14ac:dyDescent="0.25">
      <c r="A279" s="54" t="s">
        <v>83</v>
      </c>
      <c r="B279" s="19">
        <v>42649</v>
      </c>
      <c r="C279" s="19">
        <v>43542</v>
      </c>
      <c r="D279" s="19">
        <v>46667</v>
      </c>
      <c r="E279" s="19">
        <v>48652</v>
      </c>
      <c r="F279" s="19">
        <v>49468</v>
      </c>
      <c r="G279" s="19">
        <v>59432</v>
      </c>
    </row>
    <row r="280" spans="1:8" ht="15.75" thickBot="1" x14ac:dyDescent="0.3">
      <c r="A280" s="19" t="s">
        <v>310</v>
      </c>
      <c r="B280" s="74">
        <f>SUM(B278:B279)</f>
        <v>73482</v>
      </c>
      <c r="C280" s="74">
        <f t="shared" ref="C280:G280" si="121">SUM(C278:C279)</f>
        <v>74838</v>
      </c>
      <c r="D280" s="74">
        <f t="shared" si="121"/>
        <v>79756</v>
      </c>
      <c r="E280" s="74">
        <f t="shared" si="121"/>
        <v>84198</v>
      </c>
      <c r="F280" s="74">
        <f t="shared" si="121"/>
        <v>85971</v>
      </c>
      <c r="G280" s="74">
        <f t="shared" si="121"/>
        <v>104257</v>
      </c>
      <c r="H280" s="85"/>
    </row>
    <row r="281" spans="1:8" ht="15.75" thickTop="1" x14ac:dyDescent="0.25"/>
    <row r="282" spans="1:8" x14ac:dyDescent="0.25">
      <c r="A282" s="54" t="s">
        <v>311</v>
      </c>
      <c r="B282" s="19">
        <v>2394</v>
      </c>
      <c r="C282" s="19">
        <v>2756</v>
      </c>
      <c r="D282" s="19">
        <v>2376</v>
      </c>
      <c r="E282" s="19">
        <v>2100</v>
      </c>
      <c r="F282" s="19">
        <v>1337</v>
      </c>
      <c r="G282" s="19">
        <v>1573</v>
      </c>
    </row>
    <row r="283" spans="1:8" x14ac:dyDescent="0.25">
      <c r="A283" s="54" t="s">
        <v>312</v>
      </c>
      <c r="B283" s="19">
        <f>-B263</f>
        <v>-668</v>
      </c>
      <c r="C283" s="19">
        <f t="shared" ref="C283:G283" si="122">-C263</f>
        <v>-569</v>
      </c>
      <c r="D283" s="19">
        <f t="shared" si="122"/>
        <v>-562</v>
      </c>
      <c r="E283" s="19">
        <f t="shared" si="122"/>
        <v>-542</v>
      </c>
      <c r="F283" s="19">
        <f t="shared" si="122"/>
        <v>0</v>
      </c>
      <c r="G283" s="19">
        <f t="shared" si="122"/>
        <v>0</v>
      </c>
    </row>
    <row r="284" spans="1:8" ht="15.75" thickBot="1" x14ac:dyDescent="0.3">
      <c r="A284" s="19" t="s">
        <v>313</v>
      </c>
      <c r="B284" s="74">
        <f>SUM(B282:B283)</f>
        <v>1726</v>
      </c>
      <c r="C284" s="74">
        <f t="shared" ref="C284:G284" si="123">SUM(C282:C283)</f>
        <v>2187</v>
      </c>
      <c r="D284" s="74">
        <f t="shared" si="123"/>
        <v>1814</v>
      </c>
      <c r="E284" s="74">
        <f t="shared" si="123"/>
        <v>1558</v>
      </c>
      <c r="F284" s="74">
        <f t="shared" si="123"/>
        <v>1337</v>
      </c>
      <c r="G284" s="74">
        <f t="shared" si="123"/>
        <v>1573</v>
      </c>
    </row>
    <row r="285" spans="1:8" ht="15.75" thickTop="1" x14ac:dyDescent="0.25"/>
    <row r="286" spans="1:8" x14ac:dyDescent="0.25">
      <c r="A286" s="54" t="s">
        <v>86</v>
      </c>
      <c r="B286" s="60">
        <v>6</v>
      </c>
      <c r="C286" s="60">
        <v>14</v>
      </c>
      <c r="D286" s="60">
        <v>6</v>
      </c>
      <c r="E286" s="60">
        <v>6</v>
      </c>
      <c r="F286" s="60">
        <v>21</v>
      </c>
      <c r="G286" s="60">
        <v>462</v>
      </c>
      <c r="H286" s="60"/>
    </row>
    <row r="287" spans="1:8" x14ac:dyDescent="0.25">
      <c r="A287" s="54" t="s">
        <v>87</v>
      </c>
      <c r="B287" s="19">
        <v>831</v>
      </c>
      <c r="C287" s="19">
        <v>740</v>
      </c>
      <c r="D287" s="19">
        <v>230</v>
      </c>
      <c r="E287" s="19">
        <v>1022</v>
      </c>
      <c r="F287" s="19">
        <v>377</v>
      </c>
      <c r="G287" s="19">
        <v>2733</v>
      </c>
    </row>
    <row r="288" spans="1:8" ht="15.75" thickBot="1" x14ac:dyDescent="0.3">
      <c r="A288" s="62" t="s">
        <v>314</v>
      </c>
      <c r="B288" s="74">
        <f>SUM(B286:B287)</f>
        <v>837</v>
      </c>
      <c r="C288" s="74">
        <f t="shared" ref="C288:G288" si="124">SUM(C286:C287)</f>
        <v>754</v>
      </c>
      <c r="D288" s="74">
        <f t="shared" si="124"/>
        <v>236</v>
      </c>
      <c r="E288" s="74">
        <f t="shared" si="124"/>
        <v>1028</v>
      </c>
      <c r="F288" s="74">
        <f t="shared" si="124"/>
        <v>398</v>
      </c>
      <c r="G288" s="74">
        <f t="shared" si="124"/>
        <v>3195</v>
      </c>
      <c r="H288" s="85"/>
    </row>
    <row r="289" spans="1:8" ht="15.75" thickTop="1" x14ac:dyDescent="0.25">
      <c r="A289" s="54"/>
    </row>
    <row r="290" spans="1:8" x14ac:dyDescent="0.25">
      <c r="A290" s="54" t="s">
        <v>89</v>
      </c>
      <c r="B290" s="60">
        <v>749</v>
      </c>
      <c r="C290" s="60">
        <v>804</v>
      </c>
      <c r="D290" s="60">
        <v>946</v>
      </c>
      <c r="E290" s="60">
        <v>647</v>
      </c>
      <c r="F290" s="60">
        <v>722</v>
      </c>
      <c r="G290" s="60">
        <v>689</v>
      </c>
      <c r="H290" s="60"/>
    </row>
    <row r="291" spans="1:8" x14ac:dyDescent="0.25">
      <c r="A291" s="54" t="s">
        <v>90</v>
      </c>
      <c r="B291" s="19">
        <v>264</v>
      </c>
      <c r="C291" s="19">
        <v>268</v>
      </c>
      <c r="D291" s="19">
        <v>358</v>
      </c>
      <c r="E291" s="19">
        <v>384</v>
      </c>
      <c r="F291" s="19">
        <v>408</v>
      </c>
      <c r="G291" s="19">
        <v>419</v>
      </c>
    </row>
    <row r="292" spans="1:8" x14ac:dyDescent="0.25">
      <c r="A292" s="54" t="s">
        <v>91</v>
      </c>
      <c r="B292" s="19">
        <v>136</v>
      </c>
      <c r="C292" s="19">
        <v>541</v>
      </c>
      <c r="D292" s="19">
        <v>0</v>
      </c>
      <c r="E292" s="19">
        <v>0</v>
      </c>
      <c r="F292" s="19">
        <v>0</v>
      </c>
      <c r="G292" s="19">
        <v>0</v>
      </c>
    </row>
    <row r="293" spans="1:8" x14ac:dyDescent="0.25">
      <c r="A293" s="54" t="s">
        <v>92</v>
      </c>
      <c r="B293" s="19">
        <v>0</v>
      </c>
      <c r="C293" s="19">
        <v>0</v>
      </c>
      <c r="D293" s="19">
        <v>17</v>
      </c>
      <c r="E293" s="19">
        <v>9</v>
      </c>
      <c r="F293" s="19">
        <v>55</v>
      </c>
      <c r="G293" s="19">
        <v>0</v>
      </c>
    </row>
    <row r="294" spans="1:8" x14ac:dyDescent="0.25">
      <c r="A294" s="54" t="s">
        <v>29</v>
      </c>
      <c r="B294" s="80">
        <v>2194</v>
      </c>
      <c r="C294" s="80">
        <v>1944</v>
      </c>
      <c r="D294" s="80">
        <v>2200</v>
      </c>
      <c r="E294" s="80">
        <v>1804</v>
      </c>
      <c r="F294" s="80">
        <v>1767</v>
      </c>
      <c r="G294" s="80">
        <v>1489</v>
      </c>
      <c r="H294" s="80"/>
    </row>
    <row r="295" spans="1:8" x14ac:dyDescent="0.25">
      <c r="A295" s="54" t="s">
        <v>315</v>
      </c>
      <c r="B295" s="80">
        <f>-B264</f>
        <v>-125</v>
      </c>
      <c r="C295" s="80">
        <f t="shared" ref="C295:G295" si="125">-C264</f>
        <v>-133</v>
      </c>
      <c r="D295" s="80">
        <f t="shared" si="125"/>
        <v>-135</v>
      </c>
      <c r="E295" s="80">
        <f t="shared" si="125"/>
        <v>-147</v>
      </c>
      <c r="F295" s="80">
        <f t="shared" si="125"/>
        <v>0</v>
      </c>
      <c r="G295" s="80">
        <f t="shared" si="125"/>
        <v>0</v>
      </c>
      <c r="H295" s="80"/>
    </row>
    <row r="296" spans="1:8" ht="15.75" thickBot="1" x14ac:dyDescent="0.3">
      <c r="A296" s="19" t="s">
        <v>29</v>
      </c>
      <c r="B296" s="74">
        <f>SUM(B290:B295)</f>
        <v>3218</v>
      </c>
      <c r="C296" s="74">
        <f t="shared" ref="C296:G296" si="126">SUM(C290:C295)</f>
        <v>3424</v>
      </c>
      <c r="D296" s="74">
        <f t="shared" si="126"/>
        <v>3386</v>
      </c>
      <c r="E296" s="74">
        <f t="shared" si="126"/>
        <v>2697</v>
      </c>
      <c r="F296" s="74">
        <f t="shared" si="126"/>
        <v>2952</v>
      </c>
      <c r="G296" s="74">
        <f t="shared" si="126"/>
        <v>2597</v>
      </c>
      <c r="H296" s="85"/>
    </row>
    <row r="297" spans="1:8" ht="15.75" thickTop="1" x14ac:dyDescent="0.25">
      <c r="B297" s="80"/>
      <c r="C297" s="80"/>
      <c r="D297" s="80"/>
      <c r="E297" s="80"/>
      <c r="F297" s="80"/>
      <c r="G297" s="80"/>
      <c r="H297" s="80"/>
    </row>
    <row r="298" spans="1:8" x14ac:dyDescent="0.25">
      <c r="A298" s="54" t="s">
        <v>93</v>
      </c>
      <c r="B298" s="60">
        <v>10152</v>
      </c>
      <c r="C298" s="60">
        <v>10536</v>
      </c>
      <c r="D298" s="60">
        <v>11462</v>
      </c>
      <c r="E298" s="60">
        <v>11878</v>
      </c>
      <c r="F298" s="60">
        <v>12202</v>
      </c>
      <c r="G298" s="60">
        <v>14039</v>
      </c>
      <c r="H298" s="60"/>
    </row>
    <row r="299" spans="1:8" x14ac:dyDescent="0.25">
      <c r="A299" s="54" t="s">
        <v>94</v>
      </c>
      <c r="B299" s="19">
        <v>144</v>
      </c>
      <c r="C299" s="19">
        <v>205</v>
      </c>
      <c r="D299" s="19">
        <v>243</v>
      </c>
      <c r="E299" s="19">
        <v>273</v>
      </c>
      <c r="F299" s="19">
        <v>306</v>
      </c>
      <c r="G299" s="19">
        <v>427</v>
      </c>
    </row>
    <row r="300" spans="1:8" x14ac:dyDescent="0.25">
      <c r="A300" s="54" t="s">
        <v>95</v>
      </c>
      <c r="B300" s="19">
        <v>1477</v>
      </c>
      <c r="C300" s="19">
        <v>1534</v>
      </c>
      <c r="D300" s="19">
        <v>0</v>
      </c>
      <c r="E300" s="19">
        <v>0</v>
      </c>
      <c r="F300" s="19">
        <v>0</v>
      </c>
      <c r="G300" s="19">
        <v>0</v>
      </c>
    </row>
    <row r="301" spans="1:8" x14ac:dyDescent="0.25">
      <c r="A301" s="54" t="s">
        <v>96</v>
      </c>
      <c r="B301" s="19">
        <v>1609</v>
      </c>
      <c r="C301" s="19">
        <v>1542</v>
      </c>
      <c r="D301" s="19">
        <v>1751</v>
      </c>
      <c r="E301" s="19">
        <v>1459</v>
      </c>
      <c r="F301" s="19">
        <v>902</v>
      </c>
      <c r="G301" s="19">
        <v>1088</v>
      </c>
    </row>
    <row r="302" spans="1:8" x14ac:dyDescent="0.25">
      <c r="A302" s="54" t="s">
        <v>316</v>
      </c>
      <c r="B302" s="19">
        <f>-B265</f>
        <v>-585</v>
      </c>
      <c r="C302" s="19">
        <f t="shared" ref="C302:G302" si="127">-C265</f>
        <v>-484</v>
      </c>
      <c r="D302" s="19">
        <f t="shared" si="127"/>
        <v>-475</v>
      </c>
      <c r="E302" s="19">
        <f t="shared" si="127"/>
        <v>-454</v>
      </c>
      <c r="F302" s="19">
        <f t="shared" si="127"/>
        <v>0</v>
      </c>
      <c r="G302" s="19">
        <f t="shared" si="127"/>
        <v>0</v>
      </c>
    </row>
    <row r="303" spans="1:8" ht="15.75" thickBot="1" x14ac:dyDescent="0.3">
      <c r="A303" s="19" t="s">
        <v>317</v>
      </c>
      <c r="B303" s="74">
        <f>SUM(B298:B302)</f>
        <v>12797</v>
      </c>
      <c r="C303" s="74">
        <f t="shared" ref="C303:G303" si="128">SUM(C298:C302)</f>
        <v>13333</v>
      </c>
      <c r="D303" s="74">
        <f t="shared" si="128"/>
        <v>12981</v>
      </c>
      <c r="E303" s="74">
        <f t="shared" si="128"/>
        <v>13156</v>
      </c>
      <c r="F303" s="74">
        <f t="shared" si="128"/>
        <v>13410</v>
      </c>
      <c r="G303" s="74">
        <f t="shared" si="128"/>
        <v>15554</v>
      </c>
      <c r="H303" s="85"/>
    </row>
    <row r="304" spans="1:8" ht="15.75" thickTop="1" x14ac:dyDescent="0.25"/>
    <row r="305" spans="1:8" x14ac:dyDescent="0.25">
      <c r="A305" s="54" t="s">
        <v>100</v>
      </c>
      <c r="B305" s="60">
        <v>12</v>
      </c>
      <c r="C305" s="60">
        <v>12</v>
      </c>
      <c r="D305" s="60">
        <v>12</v>
      </c>
      <c r="E305" s="60">
        <v>12</v>
      </c>
      <c r="F305" s="60">
        <v>12</v>
      </c>
      <c r="G305" s="60">
        <v>12</v>
      </c>
      <c r="H305" s="60"/>
    </row>
    <row r="306" spans="1:8" x14ac:dyDescent="0.25">
      <c r="A306" s="54" t="s">
        <v>101</v>
      </c>
      <c r="B306" s="19">
        <v>51834</v>
      </c>
      <c r="C306" s="19">
        <v>53379</v>
      </c>
      <c r="D306" s="19">
        <v>55096</v>
      </c>
      <c r="E306" s="19">
        <v>56828</v>
      </c>
      <c r="F306" s="19">
        <v>58723</v>
      </c>
      <c r="G306" s="19">
        <v>58634</v>
      </c>
    </row>
    <row r="307" spans="1:8" x14ac:dyDescent="0.25">
      <c r="A307" s="54" t="s">
        <v>102</v>
      </c>
      <c r="B307" s="19">
        <v>489</v>
      </c>
      <c r="C307" s="19">
        <v>-1682</v>
      </c>
      <c r="D307" s="19">
        <v>-2694</v>
      </c>
      <c r="E307" s="19">
        <v>-3060</v>
      </c>
      <c r="F307" s="19">
        <v>-4853</v>
      </c>
      <c r="G307" s="19">
        <v>8495</v>
      </c>
    </row>
    <row r="308" spans="1:8" x14ac:dyDescent="0.25">
      <c r="A308" s="54" t="s">
        <v>103</v>
      </c>
      <c r="B308" s="19">
        <v>-2810</v>
      </c>
      <c r="C308" s="19">
        <v>-1824</v>
      </c>
      <c r="D308" s="19">
        <v>-1967</v>
      </c>
      <c r="E308" s="19">
        <v>-1886</v>
      </c>
      <c r="F308" s="19">
        <v>-1943</v>
      </c>
      <c r="G308" s="19">
        <v>-1054</v>
      </c>
    </row>
    <row r="309" spans="1:8" x14ac:dyDescent="0.25">
      <c r="A309" s="54" t="s">
        <v>104</v>
      </c>
      <c r="B309" s="19">
        <v>-847</v>
      </c>
      <c r="C309" s="19">
        <v>-587</v>
      </c>
      <c r="D309" s="19">
        <v>-344</v>
      </c>
      <c r="E309" s="19">
        <v>-271</v>
      </c>
      <c r="F309" s="19">
        <v>-282</v>
      </c>
      <c r="G309" s="19">
        <v>-224</v>
      </c>
    </row>
    <row r="310" spans="1:8" x14ac:dyDescent="0.25">
      <c r="A310" s="54" t="s">
        <v>105</v>
      </c>
      <c r="B310" s="19">
        <v>152</v>
      </c>
      <c r="C310" s="19">
        <v>150</v>
      </c>
      <c r="D310" s="19">
        <v>140</v>
      </c>
      <c r="E310" s="19">
        <v>126</v>
      </c>
      <c r="F310" s="19">
        <v>118</v>
      </c>
      <c r="G310" s="19">
        <v>207</v>
      </c>
    </row>
    <row r="311" spans="1:8" ht="15.75" thickBot="1" x14ac:dyDescent="0.3">
      <c r="A311" s="19" t="s">
        <v>106</v>
      </c>
      <c r="B311" s="74">
        <f>SUM(B305:B310)</f>
        <v>48830</v>
      </c>
      <c r="C311" s="74">
        <f t="shared" ref="C311:G311" si="129">SUM(C305:C310)</f>
        <v>49448</v>
      </c>
      <c r="D311" s="74">
        <f t="shared" si="129"/>
        <v>50243</v>
      </c>
      <c r="E311" s="74">
        <f t="shared" si="129"/>
        <v>51749</v>
      </c>
      <c r="F311" s="74">
        <f t="shared" si="129"/>
        <v>51775</v>
      </c>
      <c r="G311" s="74">
        <f t="shared" si="129"/>
        <v>66070</v>
      </c>
      <c r="H311" s="85"/>
    </row>
    <row r="312" spans="1:8" ht="15.75" thickTop="1" x14ac:dyDescent="0.25"/>
    <row r="313" spans="1:8" x14ac:dyDescent="0.25">
      <c r="A313" s="54" t="s">
        <v>318</v>
      </c>
      <c r="B313" s="60">
        <v>3575</v>
      </c>
      <c r="C313" s="60">
        <v>3588</v>
      </c>
      <c r="D313" s="60">
        <v>3650</v>
      </c>
      <c r="E313" s="60">
        <v>3178</v>
      </c>
      <c r="F313" s="60">
        <v>3190</v>
      </c>
      <c r="G313" s="60">
        <v>2927</v>
      </c>
    </row>
    <row r="314" spans="1:8" x14ac:dyDescent="0.25">
      <c r="A314" s="54" t="s">
        <v>319</v>
      </c>
      <c r="B314" s="19">
        <f>-B252</f>
        <v>-127</v>
      </c>
      <c r="C314" s="19">
        <f t="shared" ref="C314:G314" si="130">-C252</f>
        <v>-140</v>
      </c>
      <c r="D314" s="19">
        <f t="shared" si="130"/>
        <v>-119</v>
      </c>
      <c r="E314" s="19">
        <f t="shared" si="130"/>
        <v>-112</v>
      </c>
      <c r="F314" s="19">
        <f t="shared" si="130"/>
        <v>-109</v>
      </c>
      <c r="G314" s="19">
        <f t="shared" si="130"/>
        <v>-93</v>
      </c>
    </row>
    <row r="315" spans="1:8" x14ac:dyDescent="0.25">
      <c r="A315" s="54" t="s">
        <v>320</v>
      </c>
      <c r="B315" s="19">
        <f>-B251</f>
        <v>-945</v>
      </c>
      <c r="C315" s="19">
        <f t="shared" ref="C315:G315" si="131">-C251</f>
        <v>-1039</v>
      </c>
      <c r="D315" s="19">
        <f t="shared" si="131"/>
        <v>-1070</v>
      </c>
      <c r="E315" s="19">
        <f t="shared" si="131"/>
        <v>-1100</v>
      </c>
      <c r="F315" s="19">
        <f t="shared" si="131"/>
        <v>-1140</v>
      </c>
      <c r="G315" s="19">
        <f t="shared" si="131"/>
        <v>-1115</v>
      </c>
    </row>
    <row r="316" spans="1:8" ht="15.75" thickBot="1" x14ac:dyDescent="0.3">
      <c r="A316" s="19" t="s">
        <v>519</v>
      </c>
      <c r="B316" s="74">
        <f>SUM(B313:B315)</f>
        <v>2503</v>
      </c>
      <c r="C316" s="74">
        <f t="shared" ref="C316:G316" si="132">SUM(C313:C315)</f>
        <v>2409</v>
      </c>
      <c r="D316" s="74">
        <f t="shared" si="132"/>
        <v>2461</v>
      </c>
      <c r="E316" s="74">
        <f t="shared" si="132"/>
        <v>1966</v>
      </c>
      <c r="F316" s="74">
        <f t="shared" si="132"/>
        <v>1941</v>
      </c>
      <c r="G316" s="74">
        <f t="shared" si="132"/>
        <v>1719</v>
      </c>
    </row>
    <row r="317" spans="1:8" ht="15.75" thickTop="1" x14ac:dyDescent="0.25"/>
  </sheetData>
  <pageMargins left="0.7" right="0.7" top="0.75" bottom="0.75" header="0.3" footer="0.3"/>
  <pageSetup orientation="portrait" r:id="rId1"/>
  <ignoredErrors>
    <ignoredError sqref="B220:G221 B224:F225 C226:F22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C7EA-4319-4BD5-B514-15015D023A2F}">
  <dimension ref="A1:H354"/>
  <sheetViews>
    <sheetView zoomScale="91" zoomScaleNormal="100" workbookViewId="0">
      <selection activeCell="A164" sqref="A164"/>
    </sheetView>
  </sheetViews>
  <sheetFormatPr defaultColWidth="9.140625" defaultRowHeight="15" x14ac:dyDescent="0.25"/>
  <cols>
    <col min="1" max="1" width="40.7109375" style="19" customWidth="1"/>
    <col min="2" max="8" width="10.7109375" style="19" customWidth="1"/>
    <col min="9" max="16384" width="9.140625" style="19"/>
  </cols>
  <sheetData>
    <row r="1" spans="1:8" s="53" customFormat="1" x14ac:dyDescent="0.25">
      <c r="A1" s="66" t="s">
        <v>0</v>
      </c>
      <c r="B1" s="66" t="s">
        <v>261</v>
      </c>
      <c r="C1" s="66"/>
      <c r="D1" s="66"/>
      <c r="E1" s="66"/>
      <c r="F1" s="66"/>
      <c r="G1" s="66"/>
    </row>
    <row r="2" spans="1:8" s="53" customFormat="1" x14ac:dyDescent="0.25">
      <c r="A2" s="66" t="s">
        <v>61</v>
      </c>
      <c r="B2" s="66"/>
      <c r="C2" s="66"/>
      <c r="D2" s="66"/>
      <c r="E2" s="66"/>
      <c r="F2" s="66"/>
      <c r="G2" s="66"/>
    </row>
    <row r="3" spans="1:8" s="53" customFormat="1" x14ac:dyDescent="0.25">
      <c r="A3" s="66" t="s">
        <v>64</v>
      </c>
      <c r="B3" s="66"/>
      <c r="C3" s="66"/>
      <c r="D3" s="66"/>
      <c r="E3" s="66"/>
      <c r="F3" s="72" t="s">
        <v>262</v>
      </c>
      <c r="G3" s="72" t="s">
        <v>66</v>
      </c>
      <c r="H3" s="65"/>
    </row>
    <row r="4" spans="1:8" s="53" customFormat="1" ht="15.75" thickBot="1" x14ac:dyDescent="0.3">
      <c r="A4" s="67" t="s">
        <v>520</v>
      </c>
      <c r="B4" s="69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77"/>
    </row>
    <row r="5" spans="1:8" x14ac:dyDescent="0.25">
      <c r="A5" s="19" t="s">
        <v>77</v>
      </c>
    </row>
    <row r="6" spans="1:8" x14ac:dyDescent="0.25">
      <c r="A6" s="54" t="s">
        <v>78</v>
      </c>
      <c r="B6" s="60">
        <v>1040</v>
      </c>
      <c r="C6" s="60">
        <v>3445</v>
      </c>
      <c r="D6" s="60">
        <v>3417</v>
      </c>
      <c r="E6" s="60">
        <v>2279</v>
      </c>
      <c r="F6" s="60">
        <v>1130</v>
      </c>
      <c r="G6" s="60">
        <v>1629</v>
      </c>
      <c r="H6" s="60"/>
    </row>
    <row r="7" spans="1:8" x14ac:dyDescent="0.25">
      <c r="A7" s="54" t="s">
        <v>263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</row>
    <row r="8" spans="1:8" x14ac:dyDescent="0.25">
      <c r="A8" s="54" t="s">
        <v>18</v>
      </c>
      <c r="B8" s="19">
        <v>2120</v>
      </c>
      <c r="C8" s="19">
        <v>1957</v>
      </c>
      <c r="D8" s="19">
        <v>2063</v>
      </c>
      <c r="E8" s="19">
        <v>1973</v>
      </c>
      <c r="F8" s="19">
        <v>2129</v>
      </c>
      <c r="G8" s="19">
        <v>921</v>
      </c>
    </row>
    <row r="9" spans="1:8" x14ac:dyDescent="0.25">
      <c r="A9" s="54" t="s">
        <v>19</v>
      </c>
      <c r="B9" s="19">
        <v>3651</v>
      </c>
      <c r="C9" s="19">
        <v>2729</v>
      </c>
      <c r="D9" s="19">
        <v>2554</v>
      </c>
      <c r="E9" s="19">
        <v>2721</v>
      </c>
      <c r="F9" s="19">
        <v>2667</v>
      </c>
      <c r="G9" s="19">
        <v>2760</v>
      </c>
    </row>
    <row r="10" spans="1:8" x14ac:dyDescent="0.25">
      <c r="A10" s="54" t="s">
        <v>20</v>
      </c>
      <c r="B10" s="19">
        <f>+B313</f>
        <v>1086</v>
      </c>
      <c r="C10" s="19">
        <f t="shared" ref="C10:G10" si="0">+C313</f>
        <v>863</v>
      </c>
      <c r="D10" s="19">
        <f t="shared" si="0"/>
        <v>2788</v>
      </c>
      <c r="E10" s="19">
        <f t="shared" si="0"/>
        <v>1124</v>
      </c>
      <c r="F10" s="19">
        <f t="shared" si="0"/>
        <v>3149</v>
      </c>
      <c r="G10" s="19">
        <f t="shared" si="0"/>
        <v>1891</v>
      </c>
    </row>
    <row r="11" spans="1:8" x14ac:dyDescent="0.25">
      <c r="A11" s="19" t="s">
        <v>21</v>
      </c>
      <c r="B11" s="57">
        <f t="shared" ref="B11:G11" si="1">SUM(B6:B10)</f>
        <v>7897</v>
      </c>
      <c r="C11" s="57">
        <f t="shared" si="1"/>
        <v>8994</v>
      </c>
      <c r="D11" s="57">
        <f t="shared" si="1"/>
        <v>10822</v>
      </c>
      <c r="E11" s="57">
        <f t="shared" si="1"/>
        <v>8097</v>
      </c>
      <c r="F11" s="57">
        <f t="shared" si="1"/>
        <v>9075</v>
      </c>
      <c r="G11" s="57">
        <f t="shared" si="1"/>
        <v>7201</v>
      </c>
      <c r="H11" s="80"/>
    </row>
    <row r="12" spans="1:8" x14ac:dyDescent="0.25">
      <c r="A12" s="56" t="s">
        <v>187</v>
      </c>
      <c r="B12" s="80">
        <f>+B291</f>
        <v>200</v>
      </c>
      <c r="C12" s="80">
        <f t="shared" ref="C12:G12" si="2">+C291</f>
        <v>207</v>
      </c>
      <c r="D12" s="80">
        <f t="shared" si="2"/>
        <v>219</v>
      </c>
      <c r="E12" s="80">
        <f t="shared" si="2"/>
        <v>210</v>
      </c>
      <c r="F12" s="80">
        <f t="shared" si="2"/>
        <v>218</v>
      </c>
      <c r="G12" s="80">
        <f t="shared" si="2"/>
        <v>250</v>
      </c>
      <c r="H12" s="80"/>
    </row>
    <row r="13" spans="1:8" x14ac:dyDescent="0.25">
      <c r="A13" s="56" t="s">
        <v>188</v>
      </c>
      <c r="B13" s="80">
        <f t="shared" ref="B13:G16" si="3">+B292</f>
        <v>1161</v>
      </c>
      <c r="C13" s="80">
        <f t="shared" si="3"/>
        <v>1002</v>
      </c>
      <c r="D13" s="80">
        <f t="shared" si="3"/>
        <v>792</v>
      </c>
      <c r="E13" s="80">
        <f t="shared" si="3"/>
        <v>1033</v>
      </c>
      <c r="F13" s="80">
        <f t="shared" si="3"/>
        <v>1165</v>
      </c>
      <c r="G13" s="80">
        <f t="shared" si="3"/>
        <v>1345</v>
      </c>
      <c r="H13" s="80"/>
    </row>
    <row r="14" spans="1:8" x14ac:dyDescent="0.25">
      <c r="A14" s="56" t="s">
        <v>189</v>
      </c>
      <c r="B14" s="63">
        <f t="shared" si="3"/>
        <v>51681</v>
      </c>
      <c r="C14" s="63">
        <f t="shared" si="3"/>
        <v>52107</v>
      </c>
      <c r="D14" s="63">
        <f t="shared" si="3"/>
        <v>52795</v>
      </c>
      <c r="E14" s="63">
        <f t="shared" si="3"/>
        <v>53693</v>
      </c>
      <c r="F14" s="63">
        <f t="shared" si="3"/>
        <v>52976</v>
      </c>
      <c r="G14" s="63">
        <f t="shared" si="3"/>
        <v>66564</v>
      </c>
      <c r="H14" s="80"/>
    </row>
    <row r="15" spans="1:8" x14ac:dyDescent="0.25">
      <c r="A15" s="56" t="s">
        <v>264</v>
      </c>
      <c r="B15" s="80">
        <f t="shared" si="3"/>
        <v>53042</v>
      </c>
      <c r="C15" s="80">
        <f t="shared" si="3"/>
        <v>53316</v>
      </c>
      <c r="D15" s="80">
        <f t="shared" si="3"/>
        <v>53806</v>
      </c>
      <c r="E15" s="80">
        <f t="shared" si="3"/>
        <v>54936</v>
      </c>
      <c r="F15" s="80">
        <f t="shared" si="3"/>
        <v>54359</v>
      </c>
      <c r="G15" s="80">
        <f t="shared" si="3"/>
        <v>68159</v>
      </c>
      <c r="H15" s="80"/>
    </row>
    <row r="16" spans="1:8" x14ac:dyDescent="0.25">
      <c r="A16" s="56" t="s">
        <v>191</v>
      </c>
      <c r="B16" s="63">
        <f t="shared" si="3"/>
        <v>-4212</v>
      </c>
      <c r="C16" s="63">
        <f t="shared" si="3"/>
        <v>-3868</v>
      </c>
      <c r="D16" s="63">
        <f t="shared" si="3"/>
        <v>-3563</v>
      </c>
      <c r="E16" s="63">
        <f t="shared" si="3"/>
        <v>-3187</v>
      </c>
      <c r="F16" s="63">
        <f t="shared" si="3"/>
        <v>-2584</v>
      </c>
      <c r="G16" s="63">
        <f t="shared" si="3"/>
        <v>-2089</v>
      </c>
      <c r="H16" s="80"/>
    </row>
    <row r="17" spans="1:8" x14ac:dyDescent="0.25">
      <c r="A17" s="54" t="s">
        <v>82</v>
      </c>
      <c r="B17" s="19">
        <v>6740</v>
      </c>
      <c r="C17" s="19">
        <v>6806</v>
      </c>
      <c r="D17" s="19">
        <v>6876</v>
      </c>
      <c r="E17" s="19">
        <v>7055</v>
      </c>
      <c r="F17" s="19">
        <v>7078</v>
      </c>
      <c r="G17" s="19">
        <v>7061</v>
      </c>
    </row>
    <row r="18" spans="1:8" x14ac:dyDescent="0.25">
      <c r="A18" s="54" t="s">
        <v>265</v>
      </c>
      <c r="B18" s="19">
        <f>+B300</f>
        <v>668</v>
      </c>
      <c r="C18" s="19">
        <f t="shared" ref="C18:G18" si="4">+C300</f>
        <v>569</v>
      </c>
      <c r="D18" s="19">
        <f t="shared" si="4"/>
        <v>562</v>
      </c>
      <c r="E18" s="19">
        <f t="shared" si="4"/>
        <v>542</v>
      </c>
      <c r="F18" s="19">
        <f t="shared" si="4"/>
        <v>0</v>
      </c>
      <c r="G18" s="19">
        <f t="shared" si="4"/>
        <v>0</v>
      </c>
    </row>
    <row r="19" spans="1:8" x14ac:dyDescent="0.25">
      <c r="A19" s="54" t="s">
        <v>266</v>
      </c>
      <c r="B19" s="19">
        <f>+B317</f>
        <v>73482</v>
      </c>
      <c r="C19" s="19">
        <f t="shared" ref="C19:G19" si="5">+C317</f>
        <v>74838</v>
      </c>
      <c r="D19" s="19">
        <f t="shared" si="5"/>
        <v>79756</v>
      </c>
      <c r="E19" s="19">
        <f t="shared" si="5"/>
        <v>84198</v>
      </c>
      <c r="F19" s="19">
        <f t="shared" si="5"/>
        <v>85971</v>
      </c>
      <c r="G19" s="19">
        <f t="shared" si="5"/>
        <v>104257</v>
      </c>
    </row>
    <row r="20" spans="1:8" x14ac:dyDescent="0.25">
      <c r="A20" s="54" t="s">
        <v>25</v>
      </c>
      <c r="B20" s="19">
        <f>+B321</f>
        <v>1726</v>
      </c>
      <c r="C20" s="19">
        <f t="shared" ref="C20:G20" si="6">+C321</f>
        <v>2187</v>
      </c>
      <c r="D20" s="19">
        <f t="shared" si="6"/>
        <v>1814</v>
      </c>
      <c r="E20" s="19">
        <f t="shared" si="6"/>
        <v>1558</v>
      </c>
      <c r="F20" s="19">
        <f t="shared" si="6"/>
        <v>1337</v>
      </c>
      <c r="G20" s="19">
        <f t="shared" si="6"/>
        <v>1573</v>
      </c>
    </row>
    <row r="21" spans="1:8" ht="15.75" thickBot="1" x14ac:dyDescent="0.3">
      <c r="A21" s="19" t="s">
        <v>84</v>
      </c>
      <c r="B21" s="74">
        <f t="shared" ref="B21:G21" si="7">+B11+SUM(B17:B20)</f>
        <v>90513</v>
      </c>
      <c r="C21" s="74">
        <f t="shared" si="7"/>
        <v>93394</v>
      </c>
      <c r="D21" s="74">
        <f t="shared" si="7"/>
        <v>99830</v>
      </c>
      <c r="E21" s="74">
        <f t="shared" si="7"/>
        <v>101450</v>
      </c>
      <c r="F21" s="74">
        <f t="shared" si="7"/>
        <v>103461</v>
      </c>
      <c r="G21" s="74">
        <f t="shared" si="7"/>
        <v>120092</v>
      </c>
      <c r="H21" s="85"/>
    </row>
    <row r="22" spans="1:8" ht="15.75" thickTop="1" x14ac:dyDescent="0.25">
      <c r="A22" s="19" t="s">
        <v>85</v>
      </c>
    </row>
    <row r="23" spans="1:8" x14ac:dyDescent="0.25">
      <c r="A23" s="54" t="s">
        <v>267</v>
      </c>
      <c r="B23" s="60">
        <f>+B325</f>
        <v>837</v>
      </c>
      <c r="C23" s="60">
        <f t="shared" ref="C23:G23" si="8">+C325</f>
        <v>754</v>
      </c>
      <c r="D23" s="60">
        <f t="shared" si="8"/>
        <v>236</v>
      </c>
      <c r="E23" s="60">
        <f t="shared" si="8"/>
        <v>1028</v>
      </c>
      <c r="F23" s="60">
        <f t="shared" si="8"/>
        <v>398</v>
      </c>
      <c r="G23" s="60">
        <f t="shared" si="8"/>
        <v>3195</v>
      </c>
      <c r="H23" s="60"/>
    </row>
    <row r="24" spans="1:8" x14ac:dyDescent="0.25">
      <c r="A24" s="54" t="s">
        <v>88</v>
      </c>
      <c r="B24" s="19">
        <v>4848</v>
      </c>
      <c r="C24" s="19">
        <v>4753</v>
      </c>
      <c r="D24" s="19">
        <v>4304</v>
      </c>
      <c r="E24" s="19">
        <v>4003</v>
      </c>
      <c r="F24" s="19">
        <v>4153</v>
      </c>
      <c r="G24" s="19">
        <v>4362</v>
      </c>
    </row>
    <row r="25" spans="1:8" x14ac:dyDescent="0.25">
      <c r="A25" s="54" t="s">
        <v>268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</row>
    <row r="26" spans="1:8" x14ac:dyDescent="0.25">
      <c r="A26" s="54" t="s">
        <v>269</v>
      </c>
      <c r="B26" s="19">
        <f>+B301</f>
        <v>125</v>
      </c>
      <c r="C26" s="19">
        <f t="shared" ref="C26:G26" si="9">+C301</f>
        <v>133</v>
      </c>
      <c r="D26" s="19">
        <f t="shared" si="9"/>
        <v>135</v>
      </c>
      <c r="E26" s="19">
        <f t="shared" si="9"/>
        <v>147</v>
      </c>
      <c r="F26" s="19">
        <f t="shared" si="9"/>
        <v>0</v>
      </c>
      <c r="G26" s="19">
        <f t="shared" si="9"/>
        <v>0</v>
      </c>
    </row>
    <row r="27" spans="1:8" x14ac:dyDescent="0.25">
      <c r="A27" s="54" t="s">
        <v>270</v>
      </c>
      <c r="B27" s="19">
        <f>+B333</f>
        <v>3218</v>
      </c>
      <c r="C27" s="19">
        <f t="shared" ref="C27:G27" si="10">+C333</f>
        <v>3424</v>
      </c>
      <c r="D27" s="19">
        <f t="shared" si="10"/>
        <v>3386</v>
      </c>
      <c r="E27" s="19">
        <f t="shared" si="10"/>
        <v>2697</v>
      </c>
      <c r="F27" s="19">
        <f t="shared" si="10"/>
        <v>2952</v>
      </c>
      <c r="G27" s="19">
        <f t="shared" si="10"/>
        <v>2597</v>
      </c>
    </row>
    <row r="28" spans="1:8" x14ac:dyDescent="0.25">
      <c r="A28" s="19" t="s">
        <v>30</v>
      </c>
      <c r="B28" s="57">
        <f t="shared" ref="B28:G28" si="11">SUM(B23:B27)</f>
        <v>9028</v>
      </c>
      <c r="C28" s="57">
        <f t="shared" si="11"/>
        <v>9064</v>
      </c>
      <c r="D28" s="57">
        <f t="shared" si="11"/>
        <v>8061</v>
      </c>
      <c r="E28" s="57">
        <f t="shared" si="11"/>
        <v>7875</v>
      </c>
      <c r="F28" s="57">
        <f t="shared" si="11"/>
        <v>7503</v>
      </c>
      <c r="G28" s="57">
        <f t="shared" si="11"/>
        <v>10154</v>
      </c>
      <c r="H28" s="80"/>
    </row>
    <row r="29" spans="1:8" x14ac:dyDescent="0.25">
      <c r="A29" s="54" t="s">
        <v>31</v>
      </c>
      <c r="B29" s="19">
        <v>19233</v>
      </c>
      <c r="C29" s="19">
        <v>21061</v>
      </c>
      <c r="D29" s="19">
        <v>28070</v>
      </c>
      <c r="E29" s="19">
        <v>28216</v>
      </c>
      <c r="F29" s="19">
        <v>30770</v>
      </c>
      <c r="G29" s="19">
        <v>28308</v>
      </c>
    </row>
    <row r="30" spans="1:8" x14ac:dyDescent="0.25">
      <c r="A30" s="54" t="s">
        <v>271</v>
      </c>
      <c r="B30" s="19">
        <f>+B302</f>
        <v>585</v>
      </c>
      <c r="C30" s="19">
        <f t="shared" ref="C30:G30" si="12">+C302</f>
        <v>484</v>
      </c>
      <c r="D30" s="19">
        <f t="shared" si="12"/>
        <v>475</v>
      </c>
      <c r="E30" s="19">
        <f t="shared" si="12"/>
        <v>454</v>
      </c>
      <c r="F30" s="19">
        <f t="shared" si="12"/>
        <v>0</v>
      </c>
      <c r="G30" s="19">
        <f t="shared" si="12"/>
        <v>0</v>
      </c>
    </row>
    <row r="31" spans="1:8" x14ac:dyDescent="0.25">
      <c r="A31" s="54" t="s">
        <v>272</v>
      </c>
      <c r="B31" s="19">
        <f>+B340</f>
        <v>12797</v>
      </c>
      <c r="C31" s="19">
        <f t="shared" ref="C31:G31" si="13">+C340</f>
        <v>13333</v>
      </c>
      <c r="D31" s="19">
        <f t="shared" si="13"/>
        <v>12981</v>
      </c>
      <c r="E31" s="19">
        <f t="shared" si="13"/>
        <v>13156</v>
      </c>
      <c r="F31" s="19">
        <f t="shared" si="13"/>
        <v>13410</v>
      </c>
      <c r="G31" s="19">
        <f t="shared" si="13"/>
        <v>15554</v>
      </c>
    </row>
    <row r="32" spans="1:8" x14ac:dyDescent="0.25">
      <c r="A32" s="19" t="s">
        <v>97</v>
      </c>
      <c r="B32" s="57">
        <f t="shared" ref="B32:G32" si="14">SUM(B28:B31)</f>
        <v>41643</v>
      </c>
      <c r="C32" s="57">
        <f t="shared" si="14"/>
        <v>43942</v>
      </c>
      <c r="D32" s="57">
        <f t="shared" si="14"/>
        <v>49587</v>
      </c>
      <c r="E32" s="57">
        <f t="shared" si="14"/>
        <v>49701</v>
      </c>
      <c r="F32" s="57">
        <f t="shared" si="14"/>
        <v>51683</v>
      </c>
      <c r="G32" s="57">
        <f t="shared" si="14"/>
        <v>54016</v>
      </c>
      <c r="H32" s="80"/>
    </row>
    <row r="33" spans="1:8" x14ac:dyDescent="0.25">
      <c r="A33" s="19" t="s">
        <v>98</v>
      </c>
      <c r="B33" s="19">
        <v>40</v>
      </c>
      <c r="C33" s="19">
        <v>4</v>
      </c>
      <c r="D33" s="19">
        <v>0</v>
      </c>
      <c r="E33" s="19">
        <v>0</v>
      </c>
      <c r="F33" s="19">
        <v>3</v>
      </c>
      <c r="G33" s="19">
        <v>6</v>
      </c>
    </row>
    <row r="34" spans="1:8" x14ac:dyDescent="0.25">
      <c r="A34" s="19" t="s">
        <v>106</v>
      </c>
      <c r="B34" s="80">
        <f>+B348</f>
        <v>48830</v>
      </c>
      <c r="C34" s="80">
        <f t="shared" ref="C34:G34" si="15">+C348</f>
        <v>49448</v>
      </c>
      <c r="D34" s="80">
        <f t="shared" si="15"/>
        <v>50243</v>
      </c>
      <c r="E34" s="80">
        <f t="shared" si="15"/>
        <v>51749</v>
      </c>
      <c r="F34" s="80">
        <f t="shared" si="15"/>
        <v>51775</v>
      </c>
      <c r="G34" s="80">
        <f t="shared" si="15"/>
        <v>66070</v>
      </c>
      <c r="H34" s="80"/>
    </row>
    <row r="35" spans="1:8" ht="15.75" thickBot="1" x14ac:dyDescent="0.3">
      <c r="A35" s="19" t="s">
        <v>107</v>
      </c>
      <c r="B35" s="74">
        <f>+B34+B33+B32</f>
        <v>90513</v>
      </c>
      <c r="C35" s="74">
        <f t="shared" ref="C35:G35" si="16">+C34+C33+C32</f>
        <v>93394</v>
      </c>
      <c r="D35" s="74">
        <f t="shared" si="16"/>
        <v>99830</v>
      </c>
      <c r="E35" s="74">
        <f t="shared" si="16"/>
        <v>101450</v>
      </c>
      <c r="F35" s="74">
        <f t="shared" si="16"/>
        <v>103461</v>
      </c>
      <c r="G35" s="74">
        <f t="shared" si="16"/>
        <v>120092</v>
      </c>
      <c r="H35" s="85"/>
    </row>
    <row r="36" spans="1:8" ht="15.75" thickTop="1" x14ac:dyDescent="0.25">
      <c r="B36" s="19">
        <f>+B35-B21</f>
        <v>0</v>
      </c>
      <c r="C36" s="19">
        <f t="shared" ref="C36:G36" si="17">+C35-C21</f>
        <v>0</v>
      </c>
      <c r="D36" s="19">
        <f t="shared" si="17"/>
        <v>0</v>
      </c>
      <c r="E36" s="19">
        <f t="shared" si="17"/>
        <v>0</v>
      </c>
      <c r="F36" s="19">
        <f t="shared" si="17"/>
        <v>0</v>
      </c>
      <c r="G36" s="19">
        <f t="shared" si="17"/>
        <v>0</v>
      </c>
    </row>
    <row r="37" spans="1:8" x14ac:dyDescent="0.25">
      <c r="A37" s="19" t="s">
        <v>108</v>
      </c>
      <c r="B37" s="19">
        <v>1243</v>
      </c>
      <c r="C37" s="19">
        <v>1235</v>
      </c>
      <c r="D37" s="19">
        <v>1228</v>
      </c>
      <c r="E37" s="19">
        <v>1224</v>
      </c>
      <c r="F37" s="19">
        <v>1224</v>
      </c>
      <c r="G37" s="19">
        <v>1221</v>
      </c>
    </row>
    <row r="38" spans="1:8" x14ac:dyDescent="0.25">
      <c r="A38" s="19" t="s">
        <v>109</v>
      </c>
      <c r="B38" s="19">
        <v>-18</v>
      </c>
      <c r="C38" s="19">
        <v>-11</v>
      </c>
      <c r="D38" s="19">
        <v>-5</v>
      </c>
      <c r="E38" s="19">
        <v>-3</v>
      </c>
      <c r="F38" s="19">
        <v>-4</v>
      </c>
      <c r="G38" s="19">
        <v>-2</v>
      </c>
    </row>
    <row r="39" spans="1:8" ht="15.75" thickBot="1" x14ac:dyDescent="0.3">
      <c r="A39" s="19" t="s">
        <v>110</v>
      </c>
      <c r="B39" s="87">
        <f>+B37+B38</f>
        <v>1225</v>
      </c>
      <c r="C39" s="87">
        <f t="shared" ref="C39:G39" si="18">+C37+C38</f>
        <v>1224</v>
      </c>
      <c r="D39" s="87">
        <f t="shared" si="18"/>
        <v>1223</v>
      </c>
      <c r="E39" s="87">
        <f t="shared" si="18"/>
        <v>1221</v>
      </c>
      <c r="F39" s="87">
        <f t="shared" si="18"/>
        <v>1220</v>
      </c>
      <c r="G39" s="87">
        <f t="shared" si="18"/>
        <v>1219</v>
      </c>
      <c r="H39" s="80"/>
    </row>
    <row r="40" spans="1:8" ht="15.75" thickTop="1" x14ac:dyDescent="0.25">
      <c r="A40" s="19" t="s">
        <v>273</v>
      </c>
      <c r="B40" s="24">
        <v>38.130000000000003</v>
      </c>
      <c r="C40" s="24">
        <v>39.22</v>
      </c>
      <c r="D40" s="24">
        <v>36.380000000000003</v>
      </c>
      <c r="E40" s="24">
        <v>24.77</v>
      </c>
      <c r="F40" s="24">
        <v>33.19</v>
      </c>
      <c r="G40" s="24">
        <v>67.14</v>
      </c>
      <c r="H40" s="24"/>
    </row>
    <row r="41" spans="1:8" x14ac:dyDescent="0.25">
      <c r="A41" s="19" t="s">
        <v>111</v>
      </c>
      <c r="B41" s="60">
        <f>+B39*B40</f>
        <v>46709.25</v>
      </c>
      <c r="C41" s="60">
        <f t="shared" ref="C41:G41" si="19">+C39*C40</f>
        <v>48005.279999999999</v>
      </c>
      <c r="D41" s="60">
        <f t="shared" si="19"/>
        <v>44492.740000000005</v>
      </c>
      <c r="E41" s="60">
        <f t="shared" si="19"/>
        <v>30244.17</v>
      </c>
      <c r="F41" s="60">
        <f t="shared" si="19"/>
        <v>40491.799999999996</v>
      </c>
      <c r="G41" s="60">
        <f t="shared" si="19"/>
        <v>81843.66</v>
      </c>
      <c r="H41" s="60"/>
    </row>
    <row r="43" spans="1:8" s="53" customFormat="1" x14ac:dyDescent="0.25">
      <c r="A43" s="66" t="str">
        <f>+A1</f>
        <v>Kraft Heinz Company</v>
      </c>
      <c r="B43" s="66" t="s">
        <v>261</v>
      </c>
      <c r="C43" s="66"/>
      <c r="D43" s="66"/>
      <c r="E43" s="66"/>
      <c r="F43" s="66"/>
      <c r="G43" s="66"/>
      <c r="H43" s="66"/>
    </row>
    <row r="44" spans="1:8" s="53" customFormat="1" x14ac:dyDescent="0.25">
      <c r="A44" s="66" t="s">
        <v>274</v>
      </c>
      <c r="B44" s="66"/>
      <c r="C44" s="66"/>
      <c r="D44" s="66"/>
      <c r="E44" s="66"/>
      <c r="F44" s="66"/>
      <c r="G44" s="66"/>
      <c r="H44" s="66"/>
    </row>
    <row r="45" spans="1:8" s="53" customFormat="1" x14ac:dyDescent="0.25">
      <c r="A45" s="66" t="str">
        <f>+A3</f>
        <v>in millions except per share data</v>
      </c>
      <c r="B45" s="66"/>
      <c r="C45" s="66"/>
      <c r="D45" s="66"/>
      <c r="E45" s="66"/>
      <c r="F45" s="66" t="s">
        <v>262</v>
      </c>
      <c r="G45" s="67" t="s">
        <v>66</v>
      </c>
      <c r="H45" s="67"/>
    </row>
    <row r="46" spans="1:8" s="53" customFormat="1" ht="15.75" thickBot="1" x14ac:dyDescent="0.3">
      <c r="A46" s="67" t="str">
        <f>+A4</f>
        <v>Fiscal year ended 12/31:</v>
      </c>
      <c r="B46" s="69">
        <v>2022</v>
      </c>
      <c r="C46" s="69">
        <v>2021</v>
      </c>
      <c r="D46" s="69">
        <v>2020</v>
      </c>
      <c r="E46" s="69">
        <v>2019</v>
      </c>
      <c r="F46" s="69">
        <v>2018</v>
      </c>
      <c r="G46" s="69">
        <v>2017</v>
      </c>
      <c r="H46" s="79" t="s">
        <v>275</v>
      </c>
    </row>
    <row r="47" spans="1:8" x14ac:dyDescent="0.25">
      <c r="A47" s="19" t="s">
        <v>276</v>
      </c>
      <c r="B47" s="60">
        <f>+'As Reported'!B68</f>
        <v>2368</v>
      </c>
      <c r="C47" s="60">
        <f>+'As Reported'!C68</f>
        <v>1024</v>
      </c>
      <c r="D47" s="60">
        <f>+'As Reported'!D68</f>
        <v>361</v>
      </c>
      <c r="E47" s="60">
        <f>+'As Reported'!E68</f>
        <v>1933</v>
      </c>
      <c r="F47" s="60">
        <f>+'As Reported'!F68</f>
        <v>-10254</v>
      </c>
      <c r="G47" s="60">
        <f>+'As Reported'!G68</f>
        <v>10932</v>
      </c>
      <c r="H47" s="60">
        <f>SUM(B47:G47)</f>
        <v>6364</v>
      </c>
    </row>
    <row r="48" spans="1:8" x14ac:dyDescent="0.25">
      <c r="A48" s="19" t="s">
        <v>277</v>
      </c>
      <c r="B48" s="19">
        <v>-993</v>
      </c>
      <c r="C48" s="19">
        <v>149</v>
      </c>
      <c r="D48" s="19">
        <v>-78</v>
      </c>
      <c r="E48" s="19">
        <v>-72</v>
      </c>
      <c r="F48" s="19">
        <v>-903</v>
      </c>
      <c r="G48" s="19">
        <v>581</v>
      </c>
      <c r="H48" s="63">
        <f>SUM(B48:G48)</f>
        <v>-1316</v>
      </c>
    </row>
    <row r="49" spans="1:8" x14ac:dyDescent="0.25">
      <c r="A49" s="19" t="s">
        <v>278</v>
      </c>
      <c r="B49" s="57">
        <f t="shared" ref="B49:G49" si="20">SUM(B47:B48)</f>
        <v>1375</v>
      </c>
      <c r="C49" s="57">
        <f t="shared" si="20"/>
        <v>1173</v>
      </c>
      <c r="D49" s="57">
        <f t="shared" si="20"/>
        <v>283</v>
      </c>
      <c r="E49" s="57">
        <f t="shared" si="20"/>
        <v>1861</v>
      </c>
      <c r="F49" s="57">
        <f t="shared" si="20"/>
        <v>-11157</v>
      </c>
      <c r="G49" s="57">
        <f t="shared" si="20"/>
        <v>11513</v>
      </c>
      <c r="H49" s="19">
        <f t="shared" ref="H49:H52" si="21">SUM(B49:G49)</f>
        <v>5048</v>
      </c>
    </row>
    <row r="50" spans="1:8" x14ac:dyDescent="0.25">
      <c r="A50" s="19" t="s">
        <v>55</v>
      </c>
      <c r="B50" s="19">
        <v>-1972</v>
      </c>
      <c r="C50" s="19">
        <v>-1979</v>
      </c>
      <c r="D50" s="19">
        <v>-1973</v>
      </c>
      <c r="E50" s="19">
        <v>-1959</v>
      </c>
      <c r="F50" s="19">
        <v>-3048</v>
      </c>
      <c r="G50" s="19">
        <v>-2988</v>
      </c>
      <c r="H50" s="19">
        <f t="shared" si="21"/>
        <v>-13919</v>
      </c>
    </row>
    <row r="51" spans="1:8" x14ac:dyDescent="0.25">
      <c r="A51" s="19" t="s">
        <v>279</v>
      </c>
      <c r="B51" s="63">
        <f t="shared" ref="B51:G51" si="22">+B52-SUM(B49:B50)</f>
        <v>-21</v>
      </c>
      <c r="C51" s="63">
        <f t="shared" si="22"/>
        <v>11</v>
      </c>
      <c r="D51" s="63">
        <f t="shared" si="22"/>
        <v>184</v>
      </c>
      <c r="E51" s="63">
        <f t="shared" si="22"/>
        <v>72</v>
      </c>
      <c r="F51" s="63">
        <f t="shared" si="22"/>
        <v>-90</v>
      </c>
      <c r="G51" s="63">
        <f t="shared" si="22"/>
        <v>85</v>
      </c>
      <c r="H51" s="63">
        <f t="shared" si="21"/>
        <v>241</v>
      </c>
    </row>
    <row r="52" spans="1:8" x14ac:dyDescent="0.25">
      <c r="A52" s="19" t="s">
        <v>280</v>
      </c>
      <c r="B52" s="19">
        <f>+B54-B53</f>
        <v>-618</v>
      </c>
      <c r="C52" s="19">
        <f t="shared" ref="C52:G52" si="23">+C54-C53</f>
        <v>-795</v>
      </c>
      <c r="D52" s="19">
        <f t="shared" si="23"/>
        <v>-1506</v>
      </c>
      <c r="E52" s="19">
        <f t="shared" si="23"/>
        <v>-26</v>
      </c>
      <c r="F52" s="19">
        <f t="shared" si="23"/>
        <v>-14295</v>
      </c>
      <c r="G52" s="19">
        <f t="shared" si="23"/>
        <v>8610</v>
      </c>
      <c r="H52" s="19">
        <f t="shared" si="21"/>
        <v>-8630</v>
      </c>
    </row>
    <row r="53" spans="1:8" x14ac:dyDescent="0.25">
      <c r="A53" s="19" t="s">
        <v>281</v>
      </c>
      <c r="B53" s="19">
        <f t="shared" ref="B53:E53" si="24">+C54</f>
        <v>49448</v>
      </c>
      <c r="C53" s="19">
        <f t="shared" si="24"/>
        <v>50243</v>
      </c>
      <c r="D53" s="19">
        <f t="shared" si="24"/>
        <v>51749</v>
      </c>
      <c r="E53" s="19">
        <f t="shared" si="24"/>
        <v>51775</v>
      </c>
      <c r="F53" s="19">
        <f>+G54</f>
        <v>66070</v>
      </c>
      <c r="G53" s="19">
        <v>57460</v>
      </c>
      <c r="H53" s="19">
        <f>+G53</f>
        <v>57460</v>
      </c>
    </row>
    <row r="54" spans="1:8" ht="15.75" thickBot="1" x14ac:dyDescent="0.3">
      <c r="A54" s="19" t="s">
        <v>282</v>
      </c>
      <c r="B54" s="74">
        <f t="shared" ref="B54:G54" si="25">+B34</f>
        <v>48830</v>
      </c>
      <c r="C54" s="74">
        <f t="shared" si="25"/>
        <v>49448</v>
      </c>
      <c r="D54" s="74">
        <f t="shared" si="25"/>
        <v>50243</v>
      </c>
      <c r="E54" s="74">
        <f t="shared" si="25"/>
        <v>51749</v>
      </c>
      <c r="F54" s="74">
        <f t="shared" si="25"/>
        <v>51775</v>
      </c>
      <c r="G54" s="74">
        <f t="shared" si="25"/>
        <v>66070</v>
      </c>
      <c r="H54" s="74">
        <f>++H52+H53</f>
        <v>48830</v>
      </c>
    </row>
    <row r="55" spans="1:8" ht="15.75" thickTop="1" x14ac:dyDescent="0.25"/>
    <row r="56" spans="1:8" s="53" customFormat="1" x14ac:dyDescent="0.25">
      <c r="A56" s="66" t="str">
        <f>+A1</f>
        <v>Kraft Heinz Company</v>
      </c>
      <c r="B56" s="66" t="str">
        <f>+B1</f>
        <v>Reclassified</v>
      </c>
      <c r="C56" s="66"/>
      <c r="D56" s="66"/>
      <c r="E56" s="66"/>
      <c r="F56" s="66"/>
      <c r="G56" s="66"/>
      <c r="H56" s="66"/>
    </row>
    <row r="57" spans="1:8" s="53" customFormat="1" x14ac:dyDescent="0.25">
      <c r="A57" s="66" t="s">
        <v>112</v>
      </c>
      <c r="B57" s="66"/>
      <c r="C57" s="66"/>
      <c r="D57" s="66"/>
      <c r="E57" s="66"/>
      <c r="F57" s="66"/>
      <c r="G57" s="66"/>
      <c r="H57" s="66"/>
    </row>
    <row r="58" spans="1:8" s="53" customFormat="1" x14ac:dyDescent="0.25">
      <c r="A58" s="66" t="str">
        <f>+A3</f>
        <v>in millions except per share data</v>
      </c>
      <c r="B58" s="66"/>
      <c r="C58" s="66"/>
      <c r="D58" s="66"/>
      <c r="E58" s="66"/>
      <c r="F58" s="66" t="s">
        <v>262</v>
      </c>
      <c r="G58" s="67" t="s">
        <v>66</v>
      </c>
      <c r="H58" s="67"/>
    </row>
    <row r="59" spans="1:8" s="53" customFormat="1" ht="15.75" thickBot="1" x14ac:dyDescent="0.3">
      <c r="A59" s="67" t="str">
        <f>+A4</f>
        <v>Fiscal year ended 12/31:</v>
      </c>
      <c r="B59" s="69">
        <v>2022</v>
      </c>
      <c r="C59" s="69">
        <v>2021</v>
      </c>
      <c r="D59" s="69">
        <v>2020</v>
      </c>
      <c r="E59" s="69">
        <v>2019</v>
      </c>
      <c r="F59" s="69">
        <v>2018</v>
      </c>
      <c r="G59" s="69">
        <v>2017</v>
      </c>
      <c r="H59" s="69" t="s">
        <v>275</v>
      </c>
    </row>
    <row r="60" spans="1:8" x14ac:dyDescent="0.25">
      <c r="A60" s="19" t="s">
        <v>115</v>
      </c>
      <c r="B60" s="60">
        <v>26485</v>
      </c>
      <c r="C60" s="60">
        <v>26042</v>
      </c>
      <c r="D60" s="60">
        <v>26185</v>
      </c>
      <c r="E60" s="60">
        <v>24977</v>
      </c>
      <c r="F60" s="60">
        <v>26268</v>
      </c>
      <c r="G60" s="60">
        <v>26076</v>
      </c>
      <c r="H60" s="60">
        <f>SUM(B60:G60)</f>
        <v>156033</v>
      </c>
    </row>
    <row r="61" spans="1:8" x14ac:dyDescent="0.25">
      <c r="A61" s="54" t="s">
        <v>116</v>
      </c>
      <c r="B61" s="19">
        <v>18363</v>
      </c>
      <c r="C61" s="19">
        <v>17360</v>
      </c>
      <c r="D61" s="19">
        <v>17008</v>
      </c>
      <c r="E61" s="19">
        <v>16830</v>
      </c>
      <c r="F61" s="19">
        <v>17347</v>
      </c>
      <c r="G61" s="19">
        <v>17043</v>
      </c>
      <c r="H61" s="19">
        <f>SUM(B61:G61)</f>
        <v>103951</v>
      </c>
    </row>
    <row r="62" spans="1:8" x14ac:dyDescent="0.25">
      <c r="A62" s="19" t="s">
        <v>117</v>
      </c>
      <c r="B62" s="57">
        <f>+B60-B61</f>
        <v>8122</v>
      </c>
      <c r="C62" s="57">
        <f t="shared" ref="C62:G62" si="26">+C60-C61</f>
        <v>8682</v>
      </c>
      <c r="D62" s="57">
        <f t="shared" si="26"/>
        <v>9177</v>
      </c>
      <c r="E62" s="57">
        <f t="shared" si="26"/>
        <v>8147</v>
      </c>
      <c r="F62" s="57">
        <f t="shared" si="26"/>
        <v>8921</v>
      </c>
      <c r="G62" s="57">
        <f t="shared" si="26"/>
        <v>9033</v>
      </c>
      <c r="H62" s="57">
        <f t="shared" ref="H62:H76" si="27">SUM(B62:G62)</f>
        <v>52082</v>
      </c>
    </row>
    <row r="63" spans="1:8" x14ac:dyDescent="0.25">
      <c r="A63" s="54" t="s">
        <v>283</v>
      </c>
      <c r="B63" s="19">
        <f>+B353</f>
        <v>2503</v>
      </c>
      <c r="C63" s="19">
        <f t="shared" ref="C63:G63" si="28">+C353</f>
        <v>2409</v>
      </c>
      <c r="D63" s="19">
        <f t="shared" si="28"/>
        <v>2461</v>
      </c>
      <c r="E63" s="19">
        <f t="shared" si="28"/>
        <v>1966</v>
      </c>
      <c r="F63" s="19">
        <f t="shared" si="28"/>
        <v>1941</v>
      </c>
      <c r="G63" s="19">
        <f t="shared" si="28"/>
        <v>1719</v>
      </c>
      <c r="H63" s="19">
        <f t="shared" si="27"/>
        <v>12999</v>
      </c>
    </row>
    <row r="64" spans="1:8" x14ac:dyDescent="0.25">
      <c r="A64" s="54" t="s">
        <v>284</v>
      </c>
      <c r="B64" s="19">
        <f>+B288</f>
        <v>945</v>
      </c>
      <c r="C64" s="19">
        <f t="shared" ref="C64:G65" si="29">+C288</f>
        <v>1039</v>
      </c>
      <c r="D64" s="19">
        <f t="shared" si="29"/>
        <v>1070</v>
      </c>
      <c r="E64" s="19">
        <f t="shared" si="29"/>
        <v>1100</v>
      </c>
      <c r="F64" s="19">
        <f t="shared" si="29"/>
        <v>1140</v>
      </c>
      <c r="G64" s="19">
        <f t="shared" si="29"/>
        <v>1115</v>
      </c>
      <c r="H64" s="19">
        <f t="shared" si="27"/>
        <v>6409</v>
      </c>
    </row>
    <row r="65" spans="1:8" x14ac:dyDescent="0.25">
      <c r="A65" s="54" t="s">
        <v>285</v>
      </c>
      <c r="B65" s="19">
        <f>+B289</f>
        <v>127</v>
      </c>
      <c r="C65" s="19">
        <f t="shared" si="29"/>
        <v>140</v>
      </c>
      <c r="D65" s="19">
        <f t="shared" si="29"/>
        <v>119</v>
      </c>
      <c r="E65" s="19">
        <f t="shared" si="29"/>
        <v>112</v>
      </c>
      <c r="F65" s="19">
        <f t="shared" si="29"/>
        <v>109</v>
      </c>
      <c r="G65" s="19">
        <f t="shared" si="29"/>
        <v>93</v>
      </c>
      <c r="H65" s="19">
        <f t="shared" si="27"/>
        <v>700</v>
      </c>
    </row>
    <row r="66" spans="1:8" x14ac:dyDescent="0.25">
      <c r="A66" s="54" t="s">
        <v>119</v>
      </c>
      <c r="B66" s="19">
        <v>444</v>
      </c>
      <c r="C66" s="19">
        <v>318</v>
      </c>
      <c r="D66" s="19">
        <v>2343</v>
      </c>
      <c r="E66" s="19">
        <v>1197</v>
      </c>
      <c r="F66" s="19">
        <v>7008</v>
      </c>
      <c r="G66" s="19">
        <v>0</v>
      </c>
      <c r="H66" s="19">
        <f t="shared" si="27"/>
        <v>11310</v>
      </c>
    </row>
    <row r="67" spans="1:8" x14ac:dyDescent="0.25">
      <c r="A67" s="54" t="s">
        <v>120</v>
      </c>
      <c r="B67" s="19">
        <v>469</v>
      </c>
      <c r="C67" s="19">
        <v>1316</v>
      </c>
      <c r="D67" s="19">
        <v>1056</v>
      </c>
      <c r="E67" s="19">
        <v>702</v>
      </c>
      <c r="F67" s="19">
        <v>8928</v>
      </c>
      <c r="G67" s="19">
        <v>49</v>
      </c>
      <c r="H67" s="19">
        <f t="shared" si="27"/>
        <v>12520</v>
      </c>
    </row>
    <row r="68" spans="1:8" x14ac:dyDescent="0.25">
      <c r="A68" s="62" t="s">
        <v>121</v>
      </c>
      <c r="B68" s="55">
        <f>SUM(B63:B67)</f>
        <v>4488</v>
      </c>
      <c r="C68" s="55">
        <f t="shared" ref="C68:G68" si="30">SUM(C63:C67)</f>
        <v>5222</v>
      </c>
      <c r="D68" s="55">
        <f t="shared" si="30"/>
        <v>7049</v>
      </c>
      <c r="E68" s="55">
        <f t="shared" si="30"/>
        <v>5077</v>
      </c>
      <c r="F68" s="55">
        <f t="shared" si="30"/>
        <v>19126</v>
      </c>
      <c r="G68" s="55">
        <f t="shared" si="30"/>
        <v>2976</v>
      </c>
      <c r="H68" s="55">
        <f t="shared" si="27"/>
        <v>43938</v>
      </c>
    </row>
    <row r="69" spans="1:8" x14ac:dyDescent="0.25">
      <c r="A69" s="19" t="s">
        <v>122</v>
      </c>
      <c r="B69" s="19">
        <f>+B62-B68</f>
        <v>3634</v>
      </c>
      <c r="C69" s="19">
        <f t="shared" ref="C69:G69" si="31">+C62-C68</f>
        <v>3460</v>
      </c>
      <c r="D69" s="19">
        <f t="shared" si="31"/>
        <v>2128</v>
      </c>
      <c r="E69" s="19">
        <f t="shared" si="31"/>
        <v>3070</v>
      </c>
      <c r="F69" s="19">
        <f t="shared" si="31"/>
        <v>-10205</v>
      </c>
      <c r="G69" s="19">
        <f t="shared" si="31"/>
        <v>6057</v>
      </c>
      <c r="H69" s="19">
        <f t="shared" si="27"/>
        <v>8144</v>
      </c>
    </row>
    <row r="70" spans="1:8" x14ac:dyDescent="0.25">
      <c r="A70" s="54" t="s">
        <v>123</v>
      </c>
      <c r="B70" s="19">
        <v>921</v>
      </c>
      <c r="C70" s="19">
        <v>2047</v>
      </c>
      <c r="D70" s="19">
        <v>1394</v>
      </c>
      <c r="E70" s="19">
        <v>1361</v>
      </c>
      <c r="F70" s="19">
        <v>1284</v>
      </c>
      <c r="G70" s="19">
        <v>1234</v>
      </c>
      <c r="H70" s="19">
        <f t="shared" si="27"/>
        <v>8241</v>
      </c>
    </row>
    <row r="71" spans="1:8" x14ac:dyDescent="0.25">
      <c r="A71" s="54" t="s">
        <v>124</v>
      </c>
      <c r="B71" s="19">
        <v>-253</v>
      </c>
      <c r="C71" s="19">
        <v>-295</v>
      </c>
      <c r="D71" s="19">
        <v>-296</v>
      </c>
      <c r="E71" s="19">
        <v>-952</v>
      </c>
      <c r="F71" s="19">
        <v>-168</v>
      </c>
      <c r="G71" s="19">
        <v>-627</v>
      </c>
      <c r="H71" s="19">
        <f t="shared" si="27"/>
        <v>-2591</v>
      </c>
    </row>
    <row r="72" spans="1:8" x14ac:dyDescent="0.25">
      <c r="A72" s="19" t="s">
        <v>125</v>
      </c>
      <c r="B72" s="57">
        <f>+B69-B70-B71</f>
        <v>2966</v>
      </c>
      <c r="C72" s="57">
        <f t="shared" ref="C72:G72" si="32">+C69-C70-C71</f>
        <v>1708</v>
      </c>
      <c r="D72" s="57">
        <f t="shared" si="32"/>
        <v>1030</v>
      </c>
      <c r="E72" s="57">
        <f t="shared" si="32"/>
        <v>2661</v>
      </c>
      <c r="F72" s="57">
        <f t="shared" si="32"/>
        <v>-11321</v>
      </c>
      <c r="G72" s="57">
        <f t="shared" si="32"/>
        <v>5450</v>
      </c>
      <c r="H72" s="57">
        <f t="shared" si="27"/>
        <v>2494</v>
      </c>
    </row>
    <row r="73" spans="1:8" x14ac:dyDescent="0.25">
      <c r="A73" s="54" t="s">
        <v>126</v>
      </c>
      <c r="B73" s="19">
        <v>598</v>
      </c>
      <c r="C73" s="19">
        <v>684</v>
      </c>
      <c r="D73" s="19">
        <v>669</v>
      </c>
      <c r="E73" s="19">
        <v>728</v>
      </c>
      <c r="F73" s="19">
        <v>-1067</v>
      </c>
      <c r="G73" s="19">
        <v>-5482</v>
      </c>
      <c r="H73" s="19">
        <f t="shared" si="27"/>
        <v>-3870</v>
      </c>
    </row>
    <row r="74" spans="1:8" x14ac:dyDescent="0.25">
      <c r="A74" s="19" t="s">
        <v>127</v>
      </c>
      <c r="B74" s="57">
        <f>+B72-B73</f>
        <v>2368</v>
      </c>
      <c r="C74" s="57">
        <f t="shared" ref="C74:G74" si="33">+C72-C73</f>
        <v>1024</v>
      </c>
      <c r="D74" s="57">
        <f t="shared" si="33"/>
        <v>361</v>
      </c>
      <c r="E74" s="57">
        <f t="shared" si="33"/>
        <v>1933</v>
      </c>
      <c r="F74" s="57">
        <f t="shared" si="33"/>
        <v>-10254</v>
      </c>
      <c r="G74" s="57">
        <f t="shared" si="33"/>
        <v>10932</v>
      </c>
      <c r="H74" s="57">
        <f t="shared" si="27"/>
        <v>6364</v>
      </c>
    </row>
    <row r="75" spans="1:8" x14ac:dyDescent="0.25">
      <c r="A75" s="54" t="s">
        <v>105</v>
      </c>
      <c r="B75" s="19">
        <v>5</v>
      </c>
      <c r="C75" s="19">
        <v>12</v>
      </c>
      <c r="D75" s="19">
        <v>5</v>
      </c>
      <c r="E75" s="19">
        <v>-2</v>
      </c>
      <c r="F75" s="19">
        <v>-62</v>
      </c>
      <c r="G75" s="19">
        <v>-9</v>
      </c>
      <c r="H75" s="19">
        <f t="shared" si="27"/>
        <v>-51</v>
      </c>
    </row>
    <row r="76" spans="1:8" ht="15.75" thickBot="1" x14ac:dyDescent="0.3">
      <c r="A76" s="19" t="s">
        <v>128</v>
      </c>
      <c r="B76" s="74">
        <f>+B74-B75</f>
        <v>2363</v>
      </c>
      <c r="C76" s="74">
        <f t="shared" ref="C76:G76" si="34">+C74-C75</f>
        <v>1012</v>
      </c>
      <c r="D76" s="74">
        <f t="shared" si="34"/>
        <v>356</v>
      </c>
      <c r="E76" s="74">
        <f t="shared" si="34"/>
        <v>1935</v>
      </c>
      <c r="F76" s="74">
        <f t="shared" si="34"/>
        <v>-10192</v>
      </c>
      <c r="G76" s="74">
        <f t="shared" si="34"/>
        <v>10941</v>
      </c>
      <c r="H76" s="74">
        <f t="shared" si="27"/>
        <v>6415</v>
      </c>
    </row>
    <row r="77" spans="1:8" ht="15.75" thickTop="1" x14ac:dyDescent="0.25">
      <c r="B77" s="19">
        <f>+B76-'As Reported'!B70</f>
        <v>0</v>
      </c>
      <c r="C77" s="19">
        <f>+C76-'As Reported'!C70</f>
        <v>0</v>
      </c>
      <c r="D77" s="19">
        <f>+D76-'As Reported'!D70</f>
        <v>0</v>
      </c>
      <c r="E77" s="19">
        <f>+E76-'As Reported'!E70</f>
        <v>0</v>
      </c>
      <c r="F77" s="19">
        <f>+F76-'As Reported'!F70</f>
        <v>0</v>
      </c>
      <c r="G77" s="19">
        <f>+G76-'As Reported'!G70</f>
        <v>0</v>
      </c>
    </row>
    <row r="78" spans="1:8" x14ac:dyDescent="0.25">
      <c r="A78" s="19" t="s">
        <v>131</v>
      </c>
      <c r="B78" s="19">
        <v>1235</v>
      </c>
      <c r="C78" s="19">
        <v>1236</v>
      </c>
      <c r="D78" s="19">
        <v>1228</v>
      </c>
      <c r="E78" s="19">
        <v>1224</v>
      </c>
      <c r="F78" s="19">
        <v>1219</v>
      </c>
      <c r="G78" s="19">
        <v>1228</v>
      </c>
    </row>
    <row r="79" spans="1:8" x14ac:dyDescent="0.25">
      <c r="A79" s="19" t="s">
        <v>132</v>
      </c>
      <c r="B79" s="24">
        <f>+B76/B78</f>
        <v>1.9133603238866397</v>
      </c>
      <c r="C79" s="24">
        <f t="shared" ref="C79:G79" si="35">+C76/C78</f>
        <v>0.81877022653721687</v>
      </c>
      <c r="D79" s="24">
        <f t="shared" si="35"/>
        <v>0.28990228013029318</v>
      </c>
      <c r="E79" s="24">
        <f t="shared" si="35"/>
        <v>1.5808823529411764</v>
      </c>
      <c r="F79" s="24">
        <f t="shared" si="35"/>
        <v>-8.3609515996718624</v>
      </c>
      <c r="G79" s="24">
        <f t="shared" si="35"/>
        <v>8.9096091205211732</v>
      </c>
      <c r="H79" s="24"/>
    </row>
    <row r="80" spans="1:8" x14ac:dyDescent="0.25">
      <c r="A80" s="19" t="s">
        <v>133</v>
      </c>
      <c r="B80" s="24">
        <v>1.6</v>
      </c>
      <c r="C80" s="24">
        <v>1.6</v>
      </c>
      <c r="D80" s="24">
        <v>1.6</v>
      </c>
      <c r="E80" s="24">
        <v>1.6</v>
      </c>
      <c r="F80" s="24">
        <v>2.5</v>
      </c>
      <c r="G80" s="24">
        <v>2.4500000000000002</v>
      </c>
      <c r="H80" s="24"/>
    </row>
    <row r="81" spans="1:8" x14ac:dyDescent="0.25">
      <c r="B81" s="24"/>
      <c r="C81" s="24"/>
      <c r="D81" s="24"/>
      <c r="E81" s="24"/>
      <c r="F81" s="24"/>
      <c r="G81" s="24"/>
      <c r="H81" s="24"/>
    </row>
    <row r="82" spans="1:8" x14ac:dyDescent="0.25">
      <c r="A82" s="19" t="s">
        <v>286</v>
      </c>
      <c r="B82" s="83">
        <f>+B73/B72</f>
        <v>0.20161834120026972</v>
      </c>
      <c r="C82" s="83">
        <f t="shared" ref="C82:H82" si="36">+C73/C72</f>
        <v>0.40046838407494145</v>
      </c>
      <c r="D82" s="83">
        <f t="shared" si="36"/>
        <v>0.64951456310679612</v>
      </c>
      <c r="E82" s="83">
        <f t="shared" si="36"/>
        <v>0.27358136039083053</v>
      </c>
      <c r="F82" s="83">
        <f t="shared" si="36"/>
        <v>9.4249624591467185E-2</v>
      </c>
      <c r="G82" s="83">
        <f t="shared" si="36"/>
        <v>-1.0058715596330274</v>
      </c>
      <c r="H82" s="83">
        <f t="shared" si="36"/>
        <v>-1.5517241379310345</v>
      </c>
    </row>
    <row r="83" spans="1:8" x14ac:dyDescent="0.25">
      <c r="B83" s="24"/>
      <c r="C83" s="24"/>
      <c r="D83" s="24"/>
      <c r="E83" s="24"/>
      <c r="F83" s="24"/>
      <c r="G83" s="24"/>
      <c r="H83" s="24"/>
    </row>
    <row r="84" spans="1:8" x14ac:dyDescent="0.25">
      <c r="A84" s="53" t="s">
        <v>287</v>
      </c>
    </row>
    <row r="85" spans="1:8" x14ac:dyDescent="0.25">
      <c r="A85" s="19" t="s">
        <v>217</v>
      </c>
      <c r="B85" s="60">
        <f>+B76</f>
        <v>2363</v>
      </c>
      <c r="C85" s="60">
        <f t="shared" ref="C85:G85" si="37">+C76</f>
        <v>1012</v>
      </c>
      <c r="D85" s="60">
        <f t="shared" si="37"/>
        <v>356</v>
      </c>
      <c r="E85" s="60">
        <f t="shared" si="37"/>
        <v>1935</v>
      </c>
      <c r="F85" s="60">
        <f t="shared" si="37"/>
        <v>-10192</v>
      </c>
      <c r="G85" s="60">
        <f t="shared" si="37"/>
        <v>10941</v>
      </c>
    </row>
    <row r="86" spans="1:8" x14ac:dyDescent="0.25">
      <c r="A86" s="54" t="s">
        <v>288</v>
      </c>
      <c r="B86" s="19">
        <f>+B73</f>
        <v>598</v>
      </c>
      <c r="C86" s="19">
        <f t="shared" ref="C86:G86" si="38">+C73</f>
        <v>684</v>
      </c>
      <c r="D86" s="19">
        <f t="shared" si="38"/>
        <v>669</v>
      </c>
      <c r="E86" s="19">
        <f t="shared" si="38"/>
        <v>728</v>
      </c>
      <c r="F86" s="19">
        <f t="shared" si="38"/>
        <v>-1067</v>
      </c>
      <c r="G86" s="19">
        <f t="shared" si="38"/>
        <v>-5482</v>
      </c>
    </row>
    <row r="87" spans="1:8" x14ac:dyDescent="0.25">
      <c r="A87" s="54" t="s">
        <v>289</v>
      </c>
      <c r="B87" s="63">
        <f>+B70</f>
        <v>921</v>
      </c>
      <c r="C87" s="63">
        <f t="shared" ref="C87:G87" si="39">+C70</f>
        <v>2047</v>
      </c>
      <c r="D87" s="63">
        <f t="shared" si="39"/>
        <v>1394</v>
      </c>
      <c r="E87" s="63">
        <f t="shared" si="39"/>
        <v>1361</v>
      </c>
      <c r="F87" s="63">
        <f t="shared" si="39"/>
        <v>1284</v>
      </c>
      <c r="G87" s="63">
        <f t="shared" si="39"/>
        <v>1234</v>
      </c>
    </row>
    <row r="88" spans="1:8" x14ac:dyDescent="0.25">
      <c r="A88" s="19" t="s">
        <v>247</v>
      </c>
      <c r="B88" s="19">
        <f>SUM(B85:B87)</f>
        <v>3882</v>
      </c>
      <c r="C88" s="19">
        <f t="shared" ref="C88:G88" si="40">SUM(C85:C87)</f>
        <v>3743</v>
      </c>
      <c r="D88" s="19">
        <f t="shared" si="40"/>
        <v>2419</v>
      </c>
      <c r="E88" s="19">
        <f t="shared" si="40"/>
        <v>4024</v>
      </c>
      <c r="F88" s="19">
        <f t="shared" si="40"/>
        <v>-9975</v>
      </c>
      <c r="G88" s="19">
        <f t="shared" si="40"/>
        <v>6693</v>
      </c>
    </row>
    <row r="89" spans="1:8" x14ac:dyDescent="0.25">
      <c r="A89" s="54" t="s">
        <v>290</v>
      </c>
      <c r="B89" s="19">
        <f>+B102</f>
        <v>933</v>
      </c>
      <c r="C89" s="19">
        <f t="shared" ref="C89:G89" si="41">+C102</f>
        <v>910</v>
      </c>
      <c r="D89" s="19">
        <f t="shared" si="41"/>
        <v>969</v>
      </c>
      <c r="E89" s="19">
        <f t="shared" si="41"/>
        <v>994</v>
      </c>
      <c r="F89" s="19">
        <f t="shared" si="41"/>
        <v>983</v>
      </c>
      <c r="G89" s="19">
        <f t="shared" si="41"/>
        <v>1031</v>
      </c>
    </row>
    <row r="90" spans="1:8" ht="15.75" thickBot="1" x14ac:dyDescent="0.3">
      <c r="A90" s="19" t="s">
        <v>291</v>
      </c>
      <c r="B90" s="74">
        <f>+B89+B88</f>
        <v>4815</v>
      </c>
      <c r="C90" s="74">
        <f t="shared" ref="C90:G90" si="42">+C89+C88</f>
        <v>4653</v>
      </c>
      <c r="D90" s="74">
        <f t="shared" si="42"/>
        <v>3388</v>
      </c>
      <c r="E90" s="74">
        <f t="shared" si="42"/>
        <v>5018</v>
      </c>
      <c r="F90" s="74">
        <f t="shared" si="42"/>
        <v>-8992</v>
      </c>
      <c r="G90" s="74">
        <f t="shared" si="42"/>
        <v>7724</v>
      </c>
    </row>
    <row r="91" spans="1:8" ht="15.75" thickTop="1" x14ac:dyDescent="0.25"/>
    <row r="92" spans="1:8" x14ac:dyDescent="0.25">
      <c r="A92" s="19" t="s">
        <v>216</v>
      </c>
      <c r="B92" s="60">
        <f>+B69</f>
        <v>3634</v>
      </c>
      <c r="C92" s="60">
        <f t="shared" ref="C92:G92" si="43">+C69</f>
        <v>3460</v>
      </c>
      <c r="D92" s="60">
        <f t="shared" si="43"/>
        <v>2128</v>
      </c>
      <c r="E92" s="60">
        <f t="shared" si="43"/>
        <v>3070</v>
      </c>
      <c r="F92" s="60">
        <f t="shared" si="43"/>
        <v>-10205</v>
      </c>
      <c r="G92" s="60">
        <f t="shared" si="43"/>
        <v>6057</v>
      </c>
    </row>
    <row r="93" spans="1:8" x14ac:dyDescent="0.25">
      <c r="A93" s="54" t="s">
        <v>292</v>
      </c>
      <c r="B93" s="19">
        <f>-B71</f>
        <v>253</v>
      </c>
      <c r="C93" s="19">
        <f t="shared" ref="C93:G93" si="44">-C71</f>
        <v>295</v>
      </c>
      <c r="D93" s="19">
        <f t="shared" si="44"/>
        <v>296</v>
      </c>
      <c r="E93" s="19">
        <f t="shared" si="44"/>
        <v>952</v>
      </c>
      <c r="F93" s="19">
        <f t="shared" si="44"/>
        <v>168</v>
      </c>
      <c r="G93" s="19">
        <f t="shared" si="44"/>
        <v>627</v>
      </c>
    </row>
    <row r="94" spans="1:8" x14ac:dyDescent="0.25">
      <c r="A94" s="54" t="s">
        <v>105</v>
      </c>
      <c r="B94" s="19">
        <f>-B75</f>
        <v>-5</v>
      </c>
      <c r="C94" s="19">
        <f t="shared" ref="C94:G94" si="45">-C75</f>
        <v>-12</v>
      </c>
      <c r="D94" s="19">
        <f t="shared" si="45"/>
        <v>-5</v>
      </c>
      <c r="E94" s="19">
        <f t="shared" si="45"/>
        <v>2</v>
      </c>
      <c r="F94" s="19">
        <f t="shared" si="45"/>
        <v>62</v>
      </c>
      <c r="G94" s="19">
        <f t="shared" si="45"/>
        <v>9</v>
      </c>
    </row>
    <row r="95" spans="1:8" ht="15.75" thickBot="1" x14ac:dyDescent="0.3">
      <c r="A95" s="19" t="s">
        <v>247</v>
      </c>
      <c r="B95" s="74">
        <f>+SUM(B92:B94)</f>
        <v>3882</v>
      </c>
      <c r="C95" s="74">
        <f t="shared" ref="C95:G95" si="46">+SUM(C92:C94)</f>
        <v>3743</v>
      </c>
      <c r="D95" s="74">
        <f t="shared" si="46"/>
        <v>2419</v>
      </c>
      <c r="E95" s="74">
        <f t="shared" si="46"/>
        <v>4024</v>
      </c>
      <c r="F95" s="74">
        <f t="shared" si="46"/>
        <v>-9975</v>
      </c>
      <c r="G95" s="74">
        <f t="shared" si="46"/>
        <v>6693</v>
      </c>
    </row>
    <row r="96" spans="1:8" ht="15.75" thickTop="1" x14ac:dyDescent="0.25"/>
    <row r="97" spans="1:8" s="53" customFormat="1" x14ac:dyDescent="0.25">
      <c r="A97" s="66" t="str">
        <f>+A1</f>
        <v>Kraft Heinz Company</v>
      </c>
      <c r="B97" s="66" t="str">
        <f>+B1</f>
        <v>Reclassified</v>
      </c>
      <c r="C97" s="66"/>
      <c r="D97" s="66"/>
      <c r="E97" s="66"/>
      <c r="F97" s="66"/>
      <c r="G97" s="66"/>
      <c r="H97" s="66"/>
    </row>
    <row r="98" spans="1:8" s="53" customFormat="1" x14ac:dyDescent="0.25">
      <c r="A98" s="66" t="s">
        <v>134</v>
      </c>
      <c r="B98" s="66"/>
      <c r="C98" s="66"/>
      <c r="D98" s="66"/>
      <c r="E98" s="66"/>
      <c r="F98" s="66"/>
      <c r="G98" s="66"/>
      <c r="H98" s="66"/>
    </row>
    <row r="99" spans="1:8" s="53" customFormat="1" x14ac:dyDescent="0.25">
      <c r="A99" s="66" t="str">
        <f>+A3</f>
        <v>in millions except per share data</v>
      </c>
      <c r="B99" s="66"/>
      <c r="C99" s="66"/>
      <c r="D99" s="66"/>
      <c r="E99" s="66"/>
      <c r="F99" s="66" t="s">
        <v>262</v>
      </c>
      <c r="G99" s="72" t="s">
        <v>66</v>
      </c>
      <c r="H99" s="67"/>
    </row>
    <row r="100" spans="1:8" s="53" customFormat="1" ht="15.75" thickBot="1" x14ac:dyDescent="0.3">
      <c r="A100" s="67" t="str">
        <f>+A4</f>
        <v>Fiscal year ended 12/31:</v>
      </c>
      <c r="B100" s="69">
        <v>2022</v>
      </c>
      <c r="C100" s="69">
        <v>2021</v>
      </c>
      <c r="D100" s="69">
        <v>2020</v>
      </c>
      <c r="E100" s="69">
        <v>2019</v>
      </c>
      <c r="F100" s="69">
        <v>2018</v>
      </c>
      <c r="G100" s="69">
        <v>2017</v>
      </c>
      <c r="H100" s="69" t="s">
        <v>275</v>
      </c>
    </row>
    <row r="101" spans="1:8" x14ac:dyDescent="0.25">
      <c r="A101" s="19" t="s">
        <v>293</v>
      </c>
      <c r="B101" s="60">
        <f>+'As Reported'!B68</f>
        <v>2368</v>
      </c>
      <c r="C101" s="60">
        <f>+'As Reported'!C68</f>
        <v>1024</v>
      </c>
      <c r="D101" s="60">
        <f>+'As Reported'!D68</f>
        <v>361</v>
      </c>
      <c r="E101" s="60">
        <f>+'As Reported'!E68</f>
        <v>1933</v>
      </c>
      <c r="F101" s="60">
        <f>+'As Reported'!F68</f>
        <v>-10254</v>
      </c>
      <c r="G101" s="60">
        <f>+'As Reported'!G68</f>
        <v>10932</v>
      </c>
      <c r="H101" s="60">
        <f>SUM(B101:G101)</f>
        <v>6364</v>
      </c>
    </row>
    <row r="102" spans="1:8" x14ac:dyDescent="0.25">
      <c r="A102" s="54" t="s">
        <v>137</v>
      </c>
      <c r="B102" s="19">
        <v>933</v>
      </c>
      <c r="C102" s="19">
        <v>910</v>
      </c>
      <c r="D102" s="19">
        <v>969</v>
      </c>
      <c r="E102" s="19">
        <v>994</v>
      </c>
      <c r="F102" s="19">
        <v>983</v>
      </c>
      <c r="G102" s="19">
        <v>1031</v>
      </c>
      <c r="H102" s="19">
        <f>SUM(B102:G102)</f>
        <v>5820</v>
      </c>
    </row>
    <row r="103" spans="1:8" x14ac:dyDescent="0.25">
      <c r="A103" s="54" t="s">
        <v>138</v>
      </c>
      <c r="B103" s="19">
        <v>-14</v>
      </c>
      <c r="C103" s="19">
        <v>-7</v>
      </c>
      <c r="D103" s="19">
        <v>-122</v>
      </c>
      <c r="E103" s="19">
        <v>-306</v>
      </c>
      <c r="F103" s="19">
        <v>-339</v>
      </c>
      <c r="G103" s="19">
        <v>-328</v>
      </c>
      <c r="H103" s="19">
        <f t="shared" ref="H103:H121" si="47">SUM(B103:G103)</f>
        <v>-1116</v>
      </c>
    </row>
    <row r="104" spans="1:8" x14ac:dyDescent="0.25">
      <c r="A104" s="54" t="s">
        <v>294</v>
      </c>
      <c r="B104" s="19">
        <v>-56</v>
      </c>
      <c r="C104" s="19">
        <v>-4</v>
      </c>
      <c r="D104" s="19">
        <v>0</v>
      </c>
      <c r="E104" s="19">
        <v>0</v>
      </c>
      <c r="F104" s="19">
        <v>0</v>
      </c>
      <c r="G104" s="19">
        <v>0</v>
      </c>
      <c r="H104" s="19">
        <f t="shared" si="47"/>
        <v>-60</v>
      </c>
    </row>
    <row r="105" spans="1:8" x14ac:dyDescent="0.25">
      <c r="A105" s="54" t="s">
        <v>142</v>
      </c>
      <c r="B105" s="19">
        <v>148</v>
      </c>
      <c r="C105" s="19">
        <v>197</v>
      </c>
      <c r="D105" s="19">
        <v>156</v>
      </c>
      <c r="E105" s="19">
        <v>46</v>
      </c>
      <c r="F105" s="19">
        <v>33</v>
      </c>
      <c r="G105" s="19">
        <v>46</v>
      </c>
      <c r="H105" s="19">
        <f t="shared" si="47"/>
        <v>626</v>
      </c>
    </row>
    <row r="106" spans="1:8" x14ac:dyDescent="0.25">
      <c r="A106" s="54" t="s">
        <v>93</v>
      </c>
      <c r="B106" s="19">
        <v>-278</v>
      </c>
      <c r="C106" s="19">
        <v>-1042</v>
      </c>
      <c r="D106" s="19">
        <v>-343</v>
      </c>
      <c r="E106" s="19">
        <v>-293</v>
      </c>
      <c r="F106" s="19">
        <v>-1967</v>
      </c>
      <c r="G106" s="19">
        <v>-6495</v>
      </c>
      <c r="H106" s="19">
        <f t="shared" si="47"/>
        <v>-10418</v>
      </c>
    </row>
    <row r="107" spans="1:8" x14ac:dyDescent="0.25">
      <c r="A107" s="54" t="s">
        <v>143</v>
      </c>
      <c r="B107" s="19">
        <v>-23</v>
      </c>
      <c r="C107" s="19">
        <v>-27</v>
      </c>
      <c r="D107" s="19">
        <v>-27</v>
      </c>
      <c r="E107" s="19">
        <v>-32</v>
      </c>
      <c r="F107" s="19">
        <v>-76</v>
      </c>
      <c r="G107" s="19">
        <v>-1659</v>
      </c>
      <c r="H107" s="19">
        <f t="shared" si="47"/>
        <v>-1844</v>
      </c>
    </row>
    <row r="108" spans="1:8" x14ac:dyDescent="0.25">
      <c r="A108" s="54" t="s">
        <v>144</v>
      </c>
      <c r="B108" s="19">
        <v>913</v>
      </c>
      <c r="C108" s="19">
        <v>1634</v>
      </c>
      <c r="D108" s="19">
        <v>3399</v>
      </c>
      <c r="E108" s="19">
        <v>1899</v>
      </c>
      <c r="F108" s="19">
        <v>15936</v>
      </c>
      <c r="G108" s="19">
        <v>49</v>
      </c>
      <c r="H108" s="19">
        <f t="shared" si="47"/>
        <v>23830</v>
      </c>
    </row>
    <row r="109" spans="1:8" x14ac:dyDescent="0.25">
      <c r="A109" s="54" t="s">
        <v>145</v>
      </c>
      <c r="B109" s="19">
        <v>17</v>
      </c>
      <c r="C109" s="19">
        <v>0</v>
      </c>
      <c r="D109" s="19">
        <v>6</v>
      </c>
      <c r="E109" s="19">
        <v>10</v>
      </c>
      <c r="F109" s="19">
        <v>146</v>
      </c>
      <c r="G109" s="19">
        <v>36</v>
      </c>
      <c r="H109" s="19">
        <f t="shared" si="47"/>
        <v>215</v>
      </c>
    </row>
    <row r="110" spans="1:8" x14ac:dyDescent="0.25">
      <c r="A110" s="54" t="s">
        <v>147</v>
      </c>
      <c r="B110" s="19">
        <v>-25</v>
      </c>
      <c r="C110" s="19">
        <v>-44</v>
      </c>
      <c r="D110" s="19">
        <v>2</v>
      </c>
      <c r="E110" s="19">
        <v>-420</v>
      </c>
      <c r="F110" s="19">
        <v>15</v>
      </c>
      <c r="G110" s="19">
        <v>0</v>
      </c>
      <c r="H110" s="19">
        <f t="shared" si="47"/>
        <v>-472</v>
      </c>
    </row>
    <row r="111" spans="1:8" x14ac:dyDescent="0.25">
      <c r="A111" s="54" t="s">
        <v>295</v>
      </c>
      <c r="B111" s="19">
        <v>0</v>
      </c>
      <c r="C111" s="19">
        <v>1587</v>
      </c>
      <c r="D111" s="19">
        <v>0</v>
      </c>
      <c r="E111" s="19">
        <v>0</v>
      </c>
      <c r="F111" s="19">
        <v>0</v>
      </c>
      <c r="G111" s="19">
        <v>0</v>
      </c>
      <c r="H111" s="19">
        <f t="shared" si="47"/>
        <v>1587</v>
      </c>
    </row>
    <row r="112" spans="1:8" x14ac:dyDescent="0.25">
      <c r="A112" s="54" t="s">
        <v>149</v>
      </c>
      <c r="B112" s="19">
        <v>-38</v>
      </c>
      <c r="C112" s="19">
        <v>917</v>
      </c>
      <c r="D112" s="19">
        <v>124</v>
      </c>
      <c r="E112" s="19">
        <v>0</v>
      </c>
      <c r="F112" s="19">
        <v>0</v>
      </c>
      <c r="G112" s="19">
        <v>0</v>
      </c>
      <c r="H112" s="19">
        <f t="shared" si="47"/>
        <v>1003</v>
      </c>
    </row>
    <row r="113" spans="1:8" x14ac:dyDescent="0.25">
      <c r="A113" s="54" t="s">
        <v>150</v>
      </c>
      <c r="B113" s="19">
        <v>7</v>
      </c>
      <c r="C113" s="19">
        <v>-187</v>
      </c>
      <c r="D113" s="19">
        <v>-54</v>
      </c>
      <c r="E113" s="19">
        <v>-46</v>
      </c>
      <c r="F113" s="19">
        <v>160</v>
      </c>
      <c r="G113" s="19">
        <v>253</v>
      </c>
      <c r="H113" s="19">
        <f t="shared" si="47"/>
        <v>133</v>
      </c>
    </row>
    <row r="114" spans="1:8" x14ac:dyDescent="0.25">
      <c r="A114" s="88" t="s">
        <v>151</v>
      </c>
      <c r="B114" s="89">
        <f>SUM(B101:B113)</f>
        <v>3952</v>
      </c>
      <c r="C114" s="89">
        <f t="shared" ref="C114:G114" si="48">SUM(C101:C113)</f>
        <v>4958</v>
      </c>
      <c r="D114" s="89">
        <f t="shared" si="48"/>
        <v>4471</v>
      </c>
      <c r="E114" s="89">
        <f t="shared" si="48"/>
        <v>3785</v>
      </c>
      <c r="F114" s="89">
        <f t="shared" si="48"/>
        <v>4637</v>
      </c>
      <c r="G114" s="89">
        <f t="shared" si="48"/>
        <v>3865</v>
      </c>
      <c r="H114" s="89">
        <f t="shared" si="47"/>
        <v>25668</v>
      </c>
    </row>
    <row r="115" spans="1:8" x14ac:dyDescent="0.25">
      <c r="A115" s="19" t="s">
        <v>152</v>
      </c>
      <c r="H115" s="19">
        <f t="shared" si="47"/>
        <v>0</v>
      </c>
    </row>
    <row r="116" spans="1:8" x14ac:dyDescent="0.25">
      <c r="A116" s="54" t="s">
        <v>18</v>
      </c>
      <c r="B116" s="19">
        <v>-228</v>
      </c>
      <c r="C116" s="19">
        <v>87</v>
      </c>
      <c r="D116" s="19">
        <v>-26</v>
      </c>
      <c r="E116" s="19">
        <v>140</v>
      </c>
      <c r="F116" s="19">
        <v>-2280</v>
      </c>
      <c r="G116" s="19">
        <v>-2629</v>
      </c>
      <c r="H116" s="19">
        <f t="shared" si="47"/>
        <v>-4936</v>
      </c>
    </row>
    <row r="117" spans="1:8" x14ac:dyDescent="0.25">
      <c r="A117" s="54" t="s">
        <v>19</v>
      </c>
      <c r="B117" s="19">
        <v>-1121</v>
      </c>
      <c r="C117" s="19">
        <v>-144</v>
      </c>
      <c r="D117" s="19">
        <v>-249</v>
      </c>
      <c r="E117" s="19">
        <v>-277</v>
      </c>
      <c r="F117" s="19">
        <v>-251</v>
      </c>
      <c r="G117" s="19">
        <v>-236</v>
      </c>
      <c r="H117" s="19">
        <f t="shared" si="47"/>
        <v>-2278</v>
      </c>
    </row>
    <row r="118" spans="1:8" x14ac:dyDescent="0.25">
      <c r="A118" s="54" t="s">
        <v>28</v>
      </c>
      <c r="B118" s="19">
        <v>152</v>
      </c>
      <c r="C118" s="19">
        <v>408</v>
      </c>
      <c r="D118" s="19">
        <v>207</v>
      </c>
      <c r="E118" s="19">
        <v>-58</v>
      </c>
      <c r="F118" s="19">
        <v>-23</v>
      </c>
      <c r="G118" s="19">
        <v>441</v>
      </c>
      <c r="H118" s="19">
        <f t="shared" si="47"/>
        <v>1127</v>
      </c>
    </row>
    <row r="119" spans="1:8" x14ac:dyDescent="0.25">
      <c r="A119" s="54" t="s">
        <v>20</v>
      </c>
      <c r="B119" s="19">
        <v>-314</v>
      </c>
      <c r="C119" s="19">
        <v>-32</v>
      </c>
      <c r="D119" s="19">
        <v>40</v>
      </c>
      <c r="E119" s="19">
        <v>52</v>
      </c>
      <c r="F119" s="19">
        <v>-146</v>
      </c>
      <c r="G119" s="19">
        <v>-64</v>
      </c>
      <c r="H119" s="19">
        <f t="shared" si="47"/>
        <v>-464</v>
      </c>
    </row>
    <row r="120" spans="1:8" x14ac:dyDescent="0.25">
      <c r="A120" s="54" t="s">
        <v>29</v>
      </c>
      <c r="B120" s="19">
        <v>28</v>
      </c>
      <c r="C120" s="19">
        <v>87</v>
      </c>
      <c r="D120" s="19">
        <v>486</v>
      </c>
      <c r="E120" s="19">
        <v>-90</v>
      </c>
      <c r="F120" s="19">
        <v>637</v>
      </c>
      <c r="G120" s="19">
        <v>-876</v>
      </c>
      <c r="H120" s="19">
        <f t="shared" si="47"/>
        <v>272</v>
      </c>
    </row>
    <row r="121" spans="1:8" x14ac:dyDescent="0.25">
      <c r="A121" s="19" t="s">
        <v>153</v>
      </c>
      <c r="B121" s="55">
        <f>SUM(B114:B120)</f>
        <v>2469</v>
      </c>
      <c r="C121" s="55">
        <f t="shared" ref="C121:G121" si="49">SUM(C114:C120)</f>
        <v>5364</v>
      </c>
      <c r="D121" s="55">
        <f t="shared" si="49"/>
        <v>4929</v>
      </c>
      <c r="E121" s="55">
        <f t="shared" si="49"/>
        <v>3552</v>
      </c>
      <c r="F121" s="55">
        <f t="shared" si="49"/>
        <v>2574</v>
      </c>
      <c r="G121" s="55">
        <f t="shared" si="49"/>
        <v>501</v>
      </c>
      <c r="H121" s="55">
        <f t="shared" si="47"/>
        <v>19389</v>
      </c>
    </row>
    <row r="122" spans="1:8" x14ac:dyDescent="0.25">
      <c r="A122" s="19" t="s">
        <v>296</v>
      </c>
      <c r="B122" s="80"/>
      <c r="C122" s="80"/>
      <c r="D122" s="80"/>
      <c r="E122" s="80"/>
      <c r="F122" s="80"/>
      <c r="G122" s="80"/>
      <c r="H122" s="80"/>
    </row>
    <row r="123" spans="1:8" x14ac:dyDescent="0.25">
      <c r="A123" s="54" t="s">
        <v>297</v>
      </c>
      <c r="B123" s="85">
        <f>+B60+B116</f>
        <v>26257</v>
      </c>
      <c r="C123" s="85">
        <f t="shared" ref="C123:G123" si="50">+C60+C116</f>
        <v>26129</v>
      </c>
      <c r="D123" s="85">
        <f t="shared" si="50"/>
        <v>26159</v>
      </c>
      <c r="E123" s="85">
        <f t="shared" si="50"/>
        <v>25117</v>
      </c>
      <c r="F123" s="85">
        <f t="shared" si="50"/>
        <v>23988</v>
      </c>
      <c r="G123" s="85">
        <f t="shared" si="50"/>
        <v>23447</v>
      </c>
      <c r="H123" s="85">
        <f>SUM(B123:G123)</f>
        <v>151097</v>
      </c>
    </row>
    <row r="124" spans="1:8" x14ac:dyDescent="0.25">
      <c r="A124" s="54" t="s">
        <v>298</v>
      </c>
      <c r="B124" s="80">
        <f>-B61+B117+B118</f>
        <v>-19332</v>
      </c>
      <c r="C124" s="80">
        <f t="shared" ref="C124:G124" si="51">-C61+C117+C118</f>
        <v>-17096</v>
      </c>
      <c r="D124" s="80">
        <f t="shared" si="51"/>
        <v>-17050</v>
      </c>
      <c r="E124" s="80">
        <f t="shared" si="51"/>
        <v>-17165</v>
      </c>
      <c r="F124" s="80">
        <f t="shared" si="51"/>
        <v>-17621</v>
      </c>
      <c r="G124" s="80">
        <f t="shared" si="51"/>
        <v>-16838</v>
      </c>
      <c r="H124" s="80">
        <f t="shared" ref="H124:H154" si="52">SUM(B124:G124)</f>
        <v>-105102</v>
      </c>
    </row>
    <row r="125" spans="1:8" x14ac:dyDescent="0.25">
      <c r="A125" s="54" t="s">
        <v>299</v>
      </c>
      <c r="B125" s="57">
        <f>+B123+B124</f>
        <v>6925</v>
      </c>
      <c r="C125" s="57">
        <f t="shared" ref="C125:G125" si="53">+C123+C124</f>
        <v>9033</v>
      </c>
      <c r="D125" s="57">
        <f t="shared" si="53"/>
        <v>9109</v>
      </c>
      <c r="E125" s="57">
        <f t="shared" si="53"/>
        <v>7952</v>
      </c>
      <c r="F125" s="57">
        <f t="shared" si="53"/>
        <v>6367</v>
      </c>
      <c r="G125" s="57">
        <f t="shared" si="53"/>
        <v>6609</v>
      </c>
      <c r="H125" s="57">
        <f t="shared" si="52"/>
        <v>45995</v>
      </c>
    </row>
    <row r="126" spans="1:8" x14ac:dyDescent="0.25">
      <c r="A126" s="54" t="s">
        <v>300</v>
      </c>
      <c r="B126" s="80">
        <f t="shared" ref="B126:G127" si="54">-B159</f>
        <v>-937</v>
      </c>
      <c r="C126" s="80">
        <f t="shared" si="54"/>
        <v>-1196</v>
      </c>
      <c r="D126" s="80">
        <f t="shared" si="54"/>
        <v>-1286</v>
      </c>
      <c r="E126" s="80">
        <f t="shared" si="54"/>
        <v>-1306</v>
      </c>
      <c r="F126" s="80">
        <f t="shared" si="54"/>
        <v>-1322</v>
      </c>
      <c r="G126" s="80">
        <f t="shared" si="54"/>
        <v>-1269</v>
      </c>
      <c r="H126" s="80">
        <f t="shared" si="52"/>
        <v>-7316</v>
      </c>
    </row>
    <row r="127" spans="1:8" x14ac:dyDescent="0.25">
      <c r="A127" s="54" t="s">
        <v>301</v>
      </c>
      <c r="B127" s="80">
        <f t="shared" si="54"/>
        <v>-1260</v>
      </c>
      <c r="C127" s="80">
        <f t="shared" si="54"/>
        <v>-1295</v>
      </c>
      <c r="D127" s="80">
        <f t="shared" si="54"/>
        <v>-1027</v>
      </c>
      <c r="E127" s="80">
        <f t="shared" si="54"/>
        <v>-974</v>
      </c>
      <c r="F127" s="80">
        <f t="shared" si="54"/>
        <v>-543</v>
      </c>
      <c r="G127" s="80">
        <f t="shared" si="54"/>
        <v>-1206</v>
      </c>
      <c r="H127" s="80">
        <f t="shared" si="52"/>
        <v>-6305</v>
      </c>
    </row>
    <row r="128" spans="1:8" x14ac:dyDescent="0.25">
      <c r="A128" s="54" t="s">
        <v>302</v>
      </c>
      <c r="B128" s="80">
        <f>+B111</f>
        <v>0</v>
      </c>
      <c r="C128" s="80">
        <f t="shared" ref="C128:G128" si="55">+C111</f>
        <v>1587</v>
      </c>
      <c r="D128" s="80">
        <f t="shared" si="55"/>
        <v>0</v>
      </c>
      <c r="E128" s="80">
        <f t="shared" si="55"/>
        <v>0</v>
      </c>
      <c r="F128" s="80">
        <f t="shared" si="55"/>
        <v>0</v>
      </c>
      <c r="G128" s="80">
        <f t="shared" si="55"/>
        <v>0</v>
      </c>
      <c r="H128" s="80">
        <f t="shared" si="52"/>
        <v>1587</v>
      </c>
    </row>
    <row r="129" spans="1:8" x14ac:dyDescent="0.25">
      <c r="A129" s="54" t="s">
        <v>143</v>
      </c>
      <c r="B129" s="80">
        <f>+B107</f>
        <v>-23</v>
      </c>
      <c r="C129" s="80">
        <f t="shared" ref="C129:G129" si="56">+C107</f>
        <v>-27</v>
      </c>
      <c r="D129" s="80">
        <f t="shared" si="56"/>
        <v>-27</v>
      </c>
      <c r="E129" s="80">
        <f t="shared" si="56"/>
        <v>-32</v>
      </c>
      <c r="F129" s="80">
        <f t="shared" si="56"/>
        <v>-76</v>
      </c>
      <c r="G129" s="80">
        <f t="shared" si="56"/>
        <v>-1659</v>
      </c>
      <c r="H129" s="80">
        <f t="shared" si="52"/>
        <v>-1844</v>
      </c>
    </row>
    <row r="130" spans="1:8" x14ac:dyDescent="0.25">
      <c r="A130" s="54" t="s">
        <v>303</v>
      </c>
      <c r="B130" s="80">
        <f>-B161</f>
        <v>-173</v>
      </c>
      <c r="C130" s="80">
        <f t="shared" ref="C130:G130" si="57">-C161</f>
        <v>-176</v>
      </c>
      <c r="D130" s="80">
        <f t="shared" si="57"/>
        <v>-173</v>
      </c>
      <c r="E130" s="80">
        <f t="shared" si="57"/>
        <v>-191</v>
      </c>
      <c r="F130" s="80">
        <f t="shared" si="57"/>
        <v>-200</v>
      </c>
      <c r="G130" s="80">
        <f t="shared" si="57"/>
        <v>-244</v>
      </c>
      <c r="H130" s="80">
        <f t="shared" si="52"/>
        <v>-1157</v>
      </c>
    </row>
    <row r="131" spans="1:8" x14ac:dyDescent="0.25">
      <c r="A131" s="54" t="s">
        <v>304</v>
      </c>
      <c r="B131" s="80">
        <f t="shared" ref="B131:G131" si="58">+B132-SUM(B125:B130)</f>
        <v>-2063</v>
      </c>
      <c r="C131" s="80">
        <f t="shared" si="58"/>
        <v>-2562</v>
      </c>
      <c r="D131" s="80">
        <f t="shared" si="58"/>
        <v>-1667</v>
      </c>
      <c r="E131" s="80">
        <f t="shared" si="58"/>
        <v>-1897</v>
      </c>
      <c r="F131" s="80">
        <f t="shared" si="58"/>
        <v>-1652</v>
      </c>
      <c r="G131" s="80">
        <f t="shared" si="58"/>
        <v>-1730</v>
      </c>
      <c r="H131" s="80">
        <f t="shared" si="52"/>
        <v>-11571</v>
      </c>
    </row>
    <row r="132" spans="1:8" x14ac:dyDescent="0.25">
      <c r="A132" s="19" t="s">
        <v>153</v>
      </c>
      <c r="B132" s="55">
        <f>+B121</f>
        <v>2469</v>
      </c>
      <c r="C132" s="55">
        <f t="shared" ref="C132:G132" si="59">+C121</f>
        <v>5364</v>
      </c>
      <c r="D132" s="55">
        <f t="shared" si="59"/>
        <v>4929</v>
      </c>
      <c r="E132" s="55">
        <f t="shared" si="59"/>
        <v>3552</v>
      </c>
      <c r="F132" s="55">
        <f t="shared" si="59"/>
        <v>2574</v>
      </c>
      <c r="G132" s="55">
        <f t="shared" si="59"/>
        <v>501</v>
      </c>
      <c r="H132" s="55">
        <f t="shared" si="52"/>
        <v>19389</v>
      </c>
    </row>
    <row r="133" spans="1:8" x14ac:dyDescent="0.25">
      <c r="A133" s="19" t="s">
        <v>154</v>
      </c>
    </row>
    <row r="134" spans="1:8" x14ac:dyDescent="0.25">
      <c r="A134" s="54" t="s">
        <v>155</v>
      </c>
      <c r="B134" s="19">
        <v>-916</v>
      </c>
      <c r="C134" s="19">
        <v>-905</v>
      </c>
      <c r="D134" s="19">
        <v>-596</v>
      </c>
      <c r="E134" s="19">
        <v>-768</v>
      </c>
      <c r="F134" s="19">
        <v>-826</v>
      </c>
      <c r="G134" s="19">
        <v>-1194</v>
      </c>
      <c r="H134" s="19">
        <f t="shared" si="52"/>
        <v>-5205</v>
      </c>
    </row>
    <row r="135" spans="1:8" x14ac:dyDescent="0.25">
      <c r="A135" s="54" t="s">
        <v>156</v>
      </c>
      <c r="B135" s="19">
        <v>0</v>
      </c>
      <c r="C135" s="19">
        <v>0</v>
      </c>
      <c r="D135" s="19">
        <v>0</v>
      </c>
      <c r="E135" s="19">
        <v>0</v>
      </c>
      <c r="F135" s="19">
        <v>1296</v>
      </c>
      <c r="G135" s="19">
        <v>2286</v>
      </c>
      <c r="H135" s="19">
        <f t="shared" si="52"/>
        <v>3582</v>
      </c>
    </row>
    <row r="136" spans="1:8" x14ac:dyDescent="0.25">
      <c r="A136" s="54" t="s">
        <v>305</v>
      </c>
      <c r="B136" s="19">
        <v>-481</v>
      </c>
      <c r="C136" s="19">
        <v>-74</v>
      </c>
      <c r="D136" s="19">
        <v>0</v>
      </c>
      <c r="E136" s="19">
        <v>-199</v>
      </c>
      <c r="F136" s="19">
        <v>-248</v>
      </c>
      <c r="G136" s="19">
        <v>0</v>
      </c>
      <c r="H136" s="19">
        <f t="shared" si="52"/>
        <v>-1002</v>
      </c>
    </row>
    <row r="137" spans="1:8" x14ac:dyDescent="0.25">
      <c r="A137" s="54" t="s">
        <v>158</v>
      </c>
      <c r="B137" s="19">
        <v>208</v>
      </c>
      <c r="C137" s="19">
        <v>-28</v>
      </c>
      <c r="D137" s="19">
        <v>25</v>
      </c>
      <c r="E137" s="19">
        <v>590</v>
      </c>
      <c r="F137" s="19">
        <v>24</v>
      </c>
      <c r="G137" s="19">
        <v>0</v>
      </c>
      <c r="H137" s="19">
        <f t="shared" si="52"/>
        <v>819</v>
      </c>
    </row>
    <row r="138" spans="1:8" x14ac:dyDescent="0.25">
      <c r="A138" s="54" t="s">
        <v>159</v>
      </c>
      <c r="B138" s="19">
        <v>88</v>
      </c>
      <c r="C138" s="19">
        <v>5014</v>
      </c>
      <c r="D138" s="19">
        <v>0</v>
      </c>
      <c r="E138" s="19">
        <v>1875</v>
      </c>
      <c r="F138" s="19">
        <v>18</v>
      </c>
      <c r="G138" s="19">
        <v>0</v>
      </c>
      <c r="H138" s="19">
        <f t="shared" si="52"/>
        <v>6995</v>
      </c>
    </row>
    <row r="139" spans="1:8" x14ac:dyDescent="0.25">
      <c r="A139" s="54" t="s">
        <v>160</v>
      </c>
      <c r="B139" s="19">
        <v>10</v>
      </c>
      <c r="C139" s="19">
        <v>31</v>
      </c>
      <c r="D139" s="19">
        <v>49</v>
      </c>
      <c r="E139" s="19">
        <v>13</v>
      </c>
      <c r="F139" s="19">
        <v>24</v>
      </c>
      <c r="G139" s="19">
        <v>85</v>
      </c>
      <c r="H139" s="19">
        <f t="shared" si="52"/>
        <v>212</v>
      </c>
    </row>
    <row r="140" spans="1:8" x14ac:dyDescent="0.25">
      <c r="A140" s="19" t="s">
        <v>161</v>
      </c>
      <c r="B140" s="55">
        <f>SUM(B134:B139)</f>
        <v>-1091</v>
      </c>
      <c r="C140" s="55">
        <f t="shared" ref="C140:G140" si="60">SUM(C134:C139)</f>
        <v>4038</v>
      </c>
      <c r="D140" s="55">
        <f t="shared" si="60"/>
        <v>-522</v>
      </c>
      <c r="E140" s="55">
        <f t="shared" si="60"/>
        <v>1511</v>
      </c>
      <c r="F140" s="55">
        <f t="shared" si="60"/>
        <v>288</v>
      </c>
      <c r="G140" s="55">
        <f t="shared" si="60"/>
        <v>1177</v>
      </c>
      <c r="H140" s="55">
        <f t="shared" si="52"/>
        <v>5401</v>
      </c>
    </row>
    <row r="141" spans="1:8" x14ac:dyDescent="0.25">
      <c r="A141" s="19" t="s">
        <v>162</v>
      </c>
    </row>
    <row r="142" spans="1:8" x14ac:dyDescent="0.25">
      <c r="A142" s="56" t="s">
        <v>163</v>
      </c>
      <c r="B142" s="19">
        <v>-1465</v>
      </c>
      <c r="C142" s="19">
        <v>-6202</v>
      </c>
      <c r="D142" s="19">
        <v>-4697</v>
      </c>
      <c r="E142" s="19">
        <v>-4795</v>
      </c>
      <c r="F142" s="19">
        <v>-2713</v>
      </c>
      <c r="G142" s="19">
        <v>-2641</v>
      </c>
      <c r="H142" s="19">
        <f t="shared" si="52"/>
        <v>-22513</v>
      </c>
    </row>
    <row r="143" spans="1:8" x14ac:dyDescent="0.25">
      <c r="A143" s="56" t="s">
        <v>164</v>
      </c>
      <c r="B143" s="19">
        <v>0</v>
      </c>
      <c r="C143" s="19">
        <v>0</v>
      </c>
      <c r="D143" s="19">
        <v>3500</v>
      </c>
      <c r="E143" s="19">
        <v>2967</v>
      </c>
      <c r="F143" s="19">
        <v>2990</v>
      </c>
      <c r="G143" s="19">
        <v>1496</v>
      </c>
      <c r="H143" s="19">
        <f t="shared" si="52"/>
        <v>10953</v>
      </c>
    </row>
    <row r="144" spans="1:8" x14ac:dyDescent="0.25">
      <c r="A144" s="56" t="s">
        <v>165</v>
      </c>
      <c r="B144" s="19">
        <v>10</v>
      </c>
      <c r="C144" s="19">
        <v>-924</v>
      </c>
      <c r="D144" s="19">
        <v>-116</v>
      </c>
      <c r="E144" s="19">
        <v>-99</v>
      </c>
      <c r="F144" s="19">
        <v>0</v>
      </c>
      <c r="G144" s="19">
        <v>0</v>
      </c>
      <c r="H144" s="19">
        <f t="shared" si="52"/>
        <v>-1129</v>
      </c>
    </row>
    <row r="145" spans="1:8" x14ac:dyDescent="0.25">
      <c r="A145" s="56" t="s">
        <v>166</v>
      </c>
      <c r="B145" s="19">
        <v>0</v>
      </c>
      <c r="C145" s="19">
        <v>0</v>
      </c>
      <c r="D145" s="19">
        <v>4000</v>
      </c>
      <c r="E145" s="19">
        <v>0</v>
      </c>
      <c r="F145" s="19">
        <v>0</v>
      </c>
      <c r="G145" s="19">
        <v>0</v>
      </c>
      <c r="H145" s="19">
        <f t="shared" si="52"/>
        <v>4000</v>
      </c>
    </row>
    <row r="146" spans="1:8" x14ac:dyDescent="0.25">
      <c r="A146" s="56" t="s">
        <v>167</v>
      </c>
      <c r="B146" s="19">
        <v>0</v>
      </c>
      <c r="C146" s="19">
        <v>0</v>
      </c>
      <c r="D146" s="19">
        <v>-4000</v>
      </c>
      <c r="E146" s="19">
        <v>0</v>
      </c>
      <c r="F146" s="19">
        <v>0</v>
      </c>
      <c r="G146" s="19">
        <v>0</v>
      </c>
      <c r="H146" s="19">
        <f t="shared" si="52"/>
        <v>-4000</v>
      </c>
    </row>
    <row r="147" spans="1:8" x14ac:dyDescent="0.25">
      <c r="A147" s="56" t="s">
        <v>168</v>
      </c>
      <c r="B147" s="19">
        <v>228</v>
      </c>
      <c r="C147" s="19">
        <v>0</v>
      </c>
      <c r="D147" s="19">
        <v>0</v>
      </c>
      <c r="E147" s="19">
        <v>557</v>
      </c>
      <c r="F147" s="19">
        <v>2784</v>
      </c>
      <c r="G147" s="19">
        <v>6043</v>
      </c>
      <c r="H147" s="19">
        <f t="shared" si="52"/>
        <v>9612</v>
      </c>
    </row>
    <row r="148" spans="1:8" x14ac:dyDescent="0.25">
      <c r="A148" s="56" t="s">
        <v>169</v>
      </c>
      <c r="B148" s="19">
        <v>-228</v>
      </c>
      <c r="C148" s="19">
        <v>0</v>
      </c>
      <c r="D148" s="19">
        <v>0</v>
      </c>
      <c r="E148" s="19">
        <v>-557</v>
      </c>
      <c r="F148" s="19">
        <v>-3213</v>
      </c>
      <c r="G148" s="19">
        <v>-6249</v>
      </c>
      <c r="H148" s="19">
        <f t="shared" si="52"/>
        <v>-10247</v>
      </c>
    </row>
    <row r="149" spans="1:8" x14ac:dyDescent="0.25">
      <c r="A149" s="54" t="s">
        <v>306</v>
      </c>
      <c r="B149" s="57">
        <f>SUM(B142:B148)</f>
        <v>-1455</v>
      </c>
      <c r="C149" s="57">
        <f t="shared" ref="C149:G149" si="61">SUM(C142:C148)</f>
        <v>-7126</v>
      </c>
      <c r="D149" s="57">
        <f t="shared" si="61"/>
        <v>-1313</v>
      </c>
      <c r="E149" s="57">
        <f t="shared" si="61"/>
        <v>-1927</v>
      </c>
      <c r="F149" s="57">
        <f t="shared" si="61"/>
        <v>-152</v>
      </c>
      <c r="G149" s="57">
        <f t="shared" si="61"/>
        <v>-1351</v>
      </c>
      <c r="H149" s="57">
        <f t="shared" si="52"/>
        <v>-13324</v>
      </c>
    </row>
    <row r="150" spans="1:8" x14ac:dyDescent="0.25">
      <c r="A150" s="54" t="s">
        <v>307</v>
      </c>
      <c r="B150" s="19">
        <v>-1960</v>
      </c>
      <c r="C150" s="19">
        <v>-1959</v>
      </c>
      <c r="D150" s="19">
        <v>-1958</v>
      </c>
      <c r="E150" s="19">
        <v>-1953</v>
      </c>
      <c r="F150" s="19">
        <v>-3183</v>
      </c>
      <c r="G150" s="19">
        <v>-2888</v>
      </c>
      <c r="H150" s="19">
        <f t="shared" si="52"/>
        <v>-13901</v>
      </c>
    </row>
    <row r="151" spans="1:8" x14ac:dyDescent="0.25">
      <c r="A151" s="54" t="s">
        <v>174</v>
      </c>
      <c r="B151" s="19">
        <v>-299</v>
      </c>
      <c r="C151" s="19">
        <v>-259</v>
      </c>
      <c r="D151" s="19">
        <v>-60</v>
      </c>
      <c r="E151" s="19">
        <v>-33</v>
      </c>
      <c r="F151" s="19">
        <v>-28</v>
      </c>
      <c r="G151" s="19">
        <v>18</v>
      </c>
      <c r="H151" s="19">
        <f t="shared" si="52"/>
        <v>-661</v>
      </c>
    </row>
    <row r="152" spans="1:8" x14ac:dyDescent="0.25">
      <c r="A152" s="19" t="s">
        <v>175</v>
      </c>
      <c r="B152" s="55">
        <f>SUM(B149:B151)</f>
        <v>-3714</v>
      </c>
      <c r="C152" s="55">
        <f t="shared" ref="C152:G152" si="62">SUM(C149:C151)</f>
        <v>-9344</v>
      </c>
      <c r="D152" s="55">
        <f t="shared" si="62"/>
        <v>-3331</v>
      </c>
      <c r="E152" s="55">
        <f t="shared" si="62"/>
        <v>-3913</v>
      </c>
      <c r="F152" s="55">
        <f t="shared" si="62"/>
        <v>-3363</v>
      </c>
      <c r="G152" s="55">
        <f t="shared" si="62"/>
        <v>-4221</v>
      </c>
      <c r="H152" s="55">
        <f t="shared" si="52"/>
        <v>-27886</v>
      </c>
    </row>
    <row r="153" spans="1:8" x14ac:dyDescent="0.25">
      <c r="A153" s="19" t="s">
        <v>176</v>
      </c>
      <c r="B153" s="19">
        <v>-69</v>
      </c>
      <c r="C153" s="19">
        <v>-30</v>
      </c>
      <c r="D153" s="19">
        <v>62</v>
      </c>
      <c r="E153" s="19">
        <v>-6</v>
      </c>
      <c r="F153" s="19">
        <v>-132</v>
      </c>
      <c r="G153" s="19">
        <v>57</v>
      </c>
      <c r="H153" s="19">
        <f t="shared" si="52"/>
        <v>-118</v>
      </c>
    </row>
    <row r="154" spans="1:8" x14ac:dyDescent="0.25">
      <c r="A154" s="19" t="s">
        <v>322</v>
      </c>
      <c r="B154" s="57">
        <f t="shared" ref="B154:G154" si="63">+B153+B152+B140+B121</f>
        <v>-2405</v>
      </c>
      <c r="C154" s="57">
        <f t="shared" si="63"/>
        <v>28</v>
      </c>
      <c r="D154" s="57">
        <f t="shared" si="63"/>
        <v>1138</v>
      </c>
      <c r="E154" s="57">
        <f t="shared" si="63"/>
        <v>1144</v>
      </c>
      <c r="F154" s="57">
        <f t="shared" si="63"/>
        <v>-633</v>
      </c>
      <c r="G154" s="57">
        <f t="shared" si="63"/>
        <v>-2486</v>
      </c>
      <c r="H154" s="57">
        <f t="shared" si="52"/>
        <v>-3214</v>
      </c>
    </row>
    <row r="155" spans="1:8" x14ac:dyDescent="0.25">
      <c r="A155" s="19" t="s">
        <v>178</v>
      </c>
      <c r="B155" s="19">
        <f>+C156</f>
        <v>3446</v>
      </c>
      <c r="C155" s="19">
        <f t="shared" ref="C155:E155" si="64">+D156</f>
        <v>3418</v>
      </c>
      <c r="D155" s="19">
        <v>2280</v>
      </c>
      <c r="E155" s="19">
        <f t="shared" si="64"/>
        <v>1136</v>
      </c>
      <c r="F155" s="19">
        <v>1769</v>
      </c>
      <c r="G155" s="19">
        <v>4255</v>
      </c>
      <c r="H155" s="19">
        <f>+G155</f>
        <v>4255</v>
      </c>
    </row>
    <row r="156" spans="1:8" ht="15.75" thickBot="1" x14ac:dyDescent="0.3">
      <c r="A156" s="19" t="s">
        <v>179</v>
      </c>
      <c r="B156" s="74">
        <f>+B155+B154</f>
        <v>1041</v>
      </c>
      <c r="C156" s="74">
        <f t="shared" ref="C156:G156" si="65">+C155+C154</f>
        <v>3446</v>
      </c>
      <c r="D156" s="74">
        <f t="shared" si="65"/>
        <v>3418</v>
      </c>
      <c r="E156" s="74">
        <f t="shared" si="65"/>
        <v>2280</v>
      </c>
      <c r="F156" s="74">
        <f t="shared" si="65"/>
        <v>1136</v>
      </c>
      <c r="G156" s="74">
        <f t="shared" si="65"/>
        <v>1769</v>
      </c>
      <c r="H156" s="74">
        <f>+H155+H154</f>
        <v>1041</v>
      </c>
    </row>
    <row r="157" spans="1:8" ht="15.75" thickTop="1" x14ac:dyDescent="0.25">
      <c r="A157" s="58" t="s">
        <v>308</v>
      </c>
      <c r="B157" s="19">
        <f t="shared" ref="B157:G157" si="66">+B156-B6</f>
        <v>1</v>
      </c>
      <c r="C157" s="19">
        <f t="shared" si="66"/>
        <v>1</v>
      </c>
      <c r="D157" s="19">
        <f t="shared" si="66"/>
        <v>1</v>
      </c>
      <c r="E157" s="19">
        <f t="shared" si="66"/>
        <v>1</v>
      </c>
      <c r="F157" s="19">
        <f t="shared" si="66"/>
        <v>6</v>
      </c>
      <c r="G157" s="19">
        <f t="shared" si="66"/>
        <v>140</v>
      </c>
    </row>
    <row r="159" spans="1:8" hidden="1" x14ac:dyDescent="0.25">
      <c r="A159" s="19" t="s">
        <v>181</v>
      </c>
      <c r="B159" s="60">
        <v>937</v>
      </c>
      <c r="C159" s="60">
        <v>1196</v>
      </c>
      <c r="D159" s="60">
        <v>1286</v>
      </c>
      <c r="E159" s="60">
        <v>1306</v>
      </c>
      <c r="F159" s="60">
        <v>1322</v>
      </c>
      <c r="G159" s="60">
        <v>1269</v>
      </c>
      <c r="H159" s="60"/>
    </row>
    <row r="160" spans="1:8" hidden="1" x14ac:dyDescent="0.25">
      <c r="A160" s="19" t="s">
        <v>182</v>
      </c>
      <c r="B160" s="19">
        <v>1260</v>
      </c>
      <c r="C160" s="19">
        <v>1295</v>
      </c>
      <c r="D160" s="19">
        <v>1027</v>
      </c>
      <c r="E160" s="19">
        <v>974</v>
      </c>
      <c r="F160" s="19">
        <v>543</v>
      </c>
      <c r="G160" s="19">
        <v>1206</v>
      </c>
    </row>
    <row r="161" spans="1:8" hidden="1" x14ac:dyDescent="0.25">
      <c r="A161" s="19" t="s">
        <v>183</v>
      </c>
      <c r="B161" s="60">
        <v>173</v>
      </c>
      <c r="C161" s="60">
        <v>176</v>
      </c>
      <c r="D161" s="60">
        <v>173</v>
      </c>
      <c r="E161" s="60">
        <v>191</v>
      </c>
      <c r="F161" s="60">
        <v>200</v>
      </c>
      <c r="G161" s="60">
        <v>244</v>
      </c>
      <c r="H161" s="60"/>
    </row>
    <row r="162" spans="1:8" x14ac:dyDescent="0.25">
      <c r="A162" s="66" t="str">
        <f>A1</f>
        <v>Kraft Heinz Company</v>
      </c>
      <c r="B162" s="66" t="str">
        <f>B1</f>
        <v>Reclassified</v>
      </c>
      <c r="C162" s="66"/>
      <c r="D162" s="66"/>
      <c r="E162" s="66"/>
      <c r="F162" s="66"/>
      <c r="G162" s="66"/>
      <c r="H162" s="66"/>
    </row>
    <row r="163" spans="1:8" x14ac:dyDescent="0.25">
      <c r="A163" s="66" t="s">
        <v>521</v>
      </c>
      <c r="B163" s="66"/>
      <c r="C163" s="66"/>
      <c r="D163" s="66"/>
      <c r="E163" s="66"/>
      <c r="F163" s="66"/>
      <c r="G163" s="66"/>
      <c r="H163" s="66"/>
    </row>
    <row r="164" spans="1:8" x14ac:dyDescent="0.25">
      <c r="A164" s="66" t="str">
        <f>A3</f>
        <v>in millions except per share data</v>
      </c>
      <c r="B164" s="66"/>
      <c r="C164" s="66"/>
      <c r="D164" s="66"/>
      <c r="E164" s="66"/>
      <c r="F164" s="66"/>
      <c r="G164" s="66"/>
      <c r="H164" s="66"/>
    </row>
    <row r="165" spans="1:8" ht="15.75" thickBot="1" x14ac:dyDescent="0.3">
      <c r="A165" s="67" t="str">
        <f>A4</f>
        <v>Fiscal year ended 12/31:</v>
      </c>
      <c r="B165" s="69">
        <v>2022</v>
      </c>
      <c r="C165" s="69">
        <v>2021</v>
      </c>
      <c r="D165" s="69">
        <v>2020</v>
      </c>
      <c r="E165" s="69">
        <v>2019</v>
      </c>
      <c r="F165" s="69">
        <v>2018</v>
      </c>
      <c r="G165" s="69">
        <v>2017</v>
      </c>
      <c r="H165" s="69" t="s">
        <v>275</v>
      </c>
    </row>
    <row r="166" spans="1:8" x14ac:dyDescent="0.25">
      <c r="A166" s="19" t="s">
        <v>323</v>
      </c>
      <c r="B166" s="60">
        <f>B60</f>
        <v>26485</v>
      </c>
      <c r="C166" s="60">
        <f t="shared" ref="C166:G166" si="67">C60</f>
        <v>26042</v>
      </c>
      <c r="D166" s="60">
        <f t="shared" si="67"/>
        <v>26185</v>
      </c>
      <c r="E166" s="60">
        <f t="shared" si="67"/>
        <v>24977</v>
      </c>
      <c r="F166" s="60">
        <f t="shared" si="67"/>
        <v>26268</v>
      </c>
      <c r="G166" s="60">
        <f t="shared" si="67"/>
        <v>26076</v>
      </c>
      <c r="H166" s="60">
        <f>SUM(B166:G166)</f>
        <v>156033</v>
      </c>
    </row>
    <row r="167" spans="1:8" x14ac:dyDescent="0.25">
      <c r="A167" s="54" t="s">
        <v>324</v>
      </c>
      <c r="B167" s="84">
        <f>B168/B166</f>
        <v>0.14921653766282802</v>
      </c>
      <c r="C167" s="84">
        <f t="shared" ref="C167:H167" si="68">C168/C166</f>
        <v>0.19038476307503263</v>
      </c>
      <c r="D167" s="84">
        <f t="shared" si="68"/>
        <v>0.17074661065495514</v>
      </c>
      <c r="E167" s="84">
        <f t="shared" si="68"/>
        <v>0.15153941626296191</v>
      </c>
      <c r="F167" s="84">
        <f t="shared" si="68"/>
        <v>0.17652657225521548</v>
      </c>
      <c r="G167" s="84">
        <f t="shared" si="68"/>
        <v>0.14822058597944471</v>
      </c>
      <c r="H167" s="84">
        <f t="shared" si="68"/>
        <v>0.16450366268673935</v>
      </c>
    </row>
    <row r="168" spans="1:8" x14ac:dyDescent="0.25">
      <c r="A168" s="19" t="s">
        <v>325</v>
      </c>
      <c r="B168" s="19">
        <f>B114</f>
        <v>3952</v>
      </c>
      <c r="C168" s="19">
        <f t="shared" ref="C168:G168" si="69">C114</f>
        <v>4958</v>
      </c>
      <c r="D168" s="19">
        <f t="shared" si="69"/>
        <v>4471</v>
      </c>
      <c r="E168" s="19">
        <f t="shared" si="69"/>
        <v>3785</v>
      </c>
      <c r="F168" s="19">
        <f t="shared" si="69"/>
        <v>4637</v>
      </c>
      <c r="G168" s="19">
        <f t="shared" si="69"/>
        <v>3865</v>
      </c>
      <c r="H168" s="19">
        <f t="shared" ref="H168:H180" si="70">SUM(B168:G168)</f>
        <v>25668</v>
      </c>
    </row>
    <row r="169" spans="1:8" x14ac:dyDescent="0.25">
      <c r="A169" s="54" t="s">
        <v>326</v>
      </c>
      <c r="B169" s="63">
        <f>B170-B168</f>
        <v>-1483</v>
      </c>
      <c r="C169" s="63">
        <f t="shared" ref="C169:G169" si="71">C170-C168</f>
        <v>406</v>
      </c>
      <c r="D169" s="63">
        <f t="shared" si="71"/>
        <v>458</v>
      </c>
      <c r="E169" s="63">
        <f t="shared" si="71"/>
        <v>-233</v>
      </c>
      <c r="F169" s="63">
        <f t="shared" si="71"/>
        <v>-2063</v>
      </c>
      <c r="G169" s="63">
        <f t="shared" si="71"/>
        <v>-3364</v>
      </c>
      <c r="H169" s="63">
        <f t="shared" si="70"/>
        <v>-6279</v>
      </c>
    </row>
    <row r="170" spans="1:8" x14ac:dyDescent="0.25">
      <c r="A170" s="19" t="s">
        <v>327</v>
      </c>
      <c r="B170" s="19">
        <f>B121</f>
        <v>2469</v>
      </c>
      <c r="C170" s="19">
        <f t="shared" ref="C170:G170" si="72">C121</f>
        <v>5364</v>
      </c>
      <c r="D170" s="19">
        <f t="shared" si="72"/>
        <v>4929</v>
      </c>
      <c r="E170" s="19">
        <f t="shared" si="72"/>
        <v>3552</v>
      </c>
      <c r="F170" s="19">
        <f t="shared" si="72"/>
        <v>2574</v>
      </c>
      <c r="G170" s="19">
        <f t="shared" si="72"/>
        <v>501</v>
      </c>
      <c r="H170" s="19">
        <f t="shared" si="70"/>
        <v>19389</v>
      </c>
    </row>
    <row r="171" spans="1:8" x14ac:dyDescent="0.25">
      <c r="A171" s="54" t="s">
        <v>328</v>
      </c>
      <c r="B171" s="63">
        <f>B134</f>
        <v>-916</v>
      </c>
      <c r="C171" s="63">
        <f t="shared" ref="C171:G171" si="73">C134</f>
        <v>-905</v>
      </c>
      <c r="D171" s="63">
        <f t="shared" si="73"/>
        <v>-596</v>
      </c>
      <c r="E171" s="63">
        <f t="shared" si="73"/>
        <v>-768</v>
      </c>
      <c r="F171" s="63">
        <f t="shared" si="73"/>
        <v>-826</v>
      </c>
      <c r="G171" s="63">
        <f t="shared" si="73"/>
        <v>-1194</v>
      </c>
      <c r="H171" s="63">
        <f t="shared" si="70"/>
        <v>-5205</v>
      </c>
    </row>
    <row r="172" spans="1:8" x14ac:dyDescent="0.25">
      <c r="A172" s="19" t="s">
        <v>329</v>
      </c>
      <c r="B172" s="19">
        <f>B170+B171</f>
        <v>1553</v>
      </c>
      <c r="C172" s="19">
        <f t="shared" ref="C172:G172" si="74">C170+C171</f>
        <v>4459</v>
      </c>
      <c r="D172" s="19">
        <f t="shared" si="74"/>
        <v>4333</v>
      </c>
      <c r="E172" s="19">
        <f t="shared" si="74"/>
        <v>2784</v>
      </c>
      <c r="F172" s="19">
        <f t="shared" si="74"/>
        <v>1748</v>
      </c>
      <c r="G172" s="19">
        <f t="shared" si="74"/>
        <v>-693</v>
      </c>
      <c r="H172" s="19">
        <f t="shared" si="70"/>
        <v>14184</v>
      </c>
    </row>
    <row r="173" spans="1:8" x14ac:dyDescent="0.25">
      <c r="A173" s="54" t="s">
        <v>330</v>
      </c>
      <c r="B173" s="19">
        <v>0</v>
      </c>
      <c r="C173" s="19">
        <v>0</v>
      </c>
      <c r="D173" s="19">
        <v>0</v>
      </c>
      <c r="E173" s="19">
        <v>0</v>
      </c>
      <c r="F173" s="19">
        <v>1296</v>
      </c>
      <c r="G173" s="19">
        <v>2286</v>
      </c>
      <c r="H173" s="19">
        <f t="shared" si="70"/>
        <v>3582</v>
      </c>
    </row>
    <row r="174" spans="1:8" x14ac:dyDescent="0.25">
      <c r="A174" s="54" t="s">
        <v>331</v>
      </c>
      <c r="B174" s="19">
        <v>-481</v>
      </c>
      <c r="C174" s="19">
        <v>-74</v>
      </c>
      <c r="D174" s="19">
        <v>0</v>
      </c>
      <c r="E174" s="19">
        <v>-199</v>
      </c>
      <c r="F174" s="19">
        <v>-248</v>
      </c>
      <c r="G174" s="19">
        <v>0</v>
      </c>
      <c r="H174" s="19">
        <f t="shared" si="70"/>
        <v>-1002</v>
      </c>
    </row>
    <row r="175" spans="1:8" x14ac:dyDescent="0.25">
      <c r="A175" s="54" t="s">
        <v>158</v>
      </c>
      <c r="B175" s="19">
        <f>B137</f>
        <v>208</v>
      </c>
      <c r="C175" s="19">
        <f t="shared" ref="C175:G175" si="75">C137</f>
        <v>-28</v>
      </c>
      <c r="D175" s="19">
        <f t="shared" si="75"/>
        <v>25</v>
      </c>
      <c r="E175" s="19">
        <f t="shared" si="75"/>
        <v>590</v>
      </c>
      <c r="F175" s="19">
        <f t="shared" si="75"/>
        <v>24</v>
      </c>
      <c r="G175" s="19">
        <f t="shared" si="75"/>
        <v>0</v>
      </c>
      <c r="H175" s="19">
        <f t="shared" si="70"/>
        <v>819</v>
      </c>
    </row>
    <row r="176" spans="1:8" x14ac:dyDescent="0.25">
      <c r="A176" s="54" t="s">
        <v>159</v>
      </c>
      <c r="B176" s="54">
        <f t="shared" ref="B176:G176" si="76">B138</f>
        <v>88</v>
      </c>
      <c r="C176" s="54">
        <f t="shared" si="76"/>
        <v>5014</v>
      </c>
      <c r="D176" s="54">
        <f t="shared" si="76"/>
        <v>0</v>
      </c>
      <c r="E176" s="54">
        <f t="shared" si="76"/>
        <v>1875</v>
      </c>
      <c r="F176" s="54">
        <f t="shared" si="76"/>
        <v>18</v>
      </c>
      <c r="G176" s="54">
        <f t="shared" si="76"/>
        <v>0</v>
      </c>
      <c r="H176" s="54">
        <f t="shared" si="70"/>
        <v>6995</v>
      </c>
    </row>
    <row r="177" spans="1:8" x14ac:dyDescent="0.25">
      <c r="A177" s="54" t="s">
        <v>332</v>
      </c>
      <c r="B177" s="80">
        <f t="shared" ref="B177:G178" si="77">B149</f>
        <v>-1455</v>
      </c>
      <c r="C177" s="80">
        <f t="shared" si="77"/>
        <v>-7126</v>
      </c>
      <c r="D177" s="80">
        <f t="shared" si="77"/>
        <v>-1313</v>
      </c>
      <c r="E177" s="80">
        <f t="shared" si="77"/>
        <v>-1927</v>
      </c>
      <c r="F177" s="80">
        <f t="shared" si="77"/>
        <v>-152</v>
      </c>
      <c r="G177" s="80">
        <f t="shared" si="77"/>
        <v>-1351</v>
      </c>
      <c r="H177" s="19">
        <f t="shared" si="70"/>
        <v>-13324</v>
      </c>
    </row>
    <row r="178" spans="1:8" x14ac:dyDescent="0.25">
      <c r="A178" s="19" t="s">
        <v>307</v>
      </c>
      <c r="B178" s="19">
        <f>B150</f>
        <v>-1960</v>
      </c>
      <c r="C178" s="19">
        <f t="shared" si="77"/>
        <v>-1959</v>
      </c>
      <c r="D178" s="19">
        <f t="shared" si="77"/>
        <v>-1958</v>
      </c>
      <c r="E178" s="19">
        <f t="shared" si="77"/>
        <v>-1953</v>
      </c>
      <c r="F178" s="19">
        <f t="shared" si="77"/>
        <v>-3183</v>
      </c>
      <c r="G178" s="19">
        <f t="shared" si="77"/>
        <v>-2888</v>
      </c>
      <c r="H178" s="19">
        <f t="shared" si="70"/>
        <v>-13901</v>
      </c>
    </row>
    <row r="179" spans="1:8" x14ac:dyDescent="0.25">
      <c r="A179" s="54" t="s">
        <v>333</v>
      </c>
      <c r="B179" s="19">
        <f>B180-SUM(B172:B178)</f>
        <v>-358</v>
      </c>
      <c r="C179" s="19">
        <f t="shared" ref="C179:G179" si="78">C180-SUM(C172:C178)</f>
        <v>-258</v>
      </c>
      <c r="D179" s="19">
        <f t="shared" si="78"/>
        <v>51</v>
      </c>
      <c r="E179" s="19">
        <f t="shared" si="78"/>
        <v>-26</v>
      </c>
      <c r="F179" s="19">
        <f t="shared" si="78"/>
        <v>-136</v>
      </c>
      <c r="G179" s="19">
        <f t="shared" si="78"/>
        <v>160</v>
      </c>
      <c r="H179" s="19">
        <f t="shared" si="70"/>
        <v>-567</v>
      </c>
    </row>
    <row r="180" spans="1:8" ht="15.75" thickBot="1" x14ac:dyDescent="0.3">
      <c r="A180" s="19" t="s">
        <v>334</v>
      </c>
      <c r="B180" s="74" cm="1">
        <f t="array" ref="B180:G180">B154:G154</f>
        <v>-2405</v>
      </c>
      <c r="C180" s="74">
        <v>28</v>
      </c>
      <c r="D180" s="74">
        <v>1138</v>
      </c>
      <c r="E180" s="74">
        <v>1144</v>
      </c>
      <c r="F180" s="74">
        <v>-633</v>
      </c>
      <c r="G180" s="74">
        <v>-2486</v>
      </c>
      <c r="H180" s="87">
        <f t="shared" si="70"/>
        <v>-3214</v>
      </c>
    </row>
    <row r="181" spans="1:8" ht="15.75" thickTop="1" x14ac:dyDescent="0.25"/>
    <row r="184" spans="1:8" x14ac:dyDescent="0.25">
      <c r="A184" s="19" t="s">
        <v>325</v>
      </c>
      <c r="B184" s="60">
        <f>B114</f>
        <v>3952</v>
      </c>
      <c r="C184" s="60">
        <f t="shared" ref="C184:G184" si="79">C114</f>
        <v>4958</v>
      </c>
      <c r="D184" s="60">
        <f t="shared" si="79"/>
        <v>4471</v>
      </c>
      <c r="E184" s="60">
        <f t="shared" si="79"/>
        <v>3785</v>
      </c>
      <c r="F184" s="60">
        <f t="shared" si="79"/>
        <v>4637</v>
      </c>
      <c r="G184" s="60">
        <f t="shared" si="79"/>
        <v>3865</v>
      </c>
      <c r="H184" s="60"/>
    </row>
    <row r="185" spans="1:8" x14ac:dyDescent="0.25">
      <c r="A185" s="19" t="s">
        <v>329</v>
      </c>
      <c r="B185" s="19">
        <f>B172</f>
        <v>1553</v>
      </c>
      <c r="C185" s="19">
        <f t="shared" ref="C185:G185" si="80">C172</f>
        <v>4459</v>
      </c>
      <c r="D185" s="19">
        <f t="shared" si="80"/>
        <v>4333</v>
      </c>
      <c r="E185" s="19">
        <f t="shared" si="80"/>
        <v>2784</v>
      </c>
      <c r="F185" s="19">
        <f t="shared" si="80"/>
        <v>1748</v>
      </c>
      <c r="G185" s="19">
        <f t="shared" si="80"/>
        <v>-693</v>
      </c>
    </row>
    <row r="186" spans="1:8" x14ac:dyDescent="0.25">
      <c r="A186" s="19" t="s">
        <v>335</v>
      </c>
      <c r="B186" s="19">
        <f>B185+(B70*0.75)</f>
        <v>2243.75</v>
      </c>
      <c r="C186" s="19">
        <f t="shared" ref="C186:G186" si="81">C185+(C70*0.75)</f>
        <v>5994.25</v>
      </c>
      <c r="D186" s="19">
        <f t="shared" si="81"/>
        <v>5378.5</v>
      </c>
      <c r="E186" s="19">
        <f t="shared" si="81"/>
        <v>3804.75</v>
      </c>
      <c r="F186" s="19">
        <f t="shared" si="81"/>
        <v>2711</v>
      </c>
      <c r="G186" s="19">
        <f t="shared" si="81"/>
        <v>232.5</v>
      </c>
    </row>
    <row r="187" spans="1:8" x14ac:dyDescent="0.25">
      <c r="A187" s="19" t="s">
        <v>336</v>
      </c>
      <c r="B187" s="60">
        <f>B185+B177</f>
        <v>98</v>
      </c>
      <c r="C187" s="60">
        <f t="shared" ref="C187:G187" si="82">C185+C177</f>
        <v>-2667</v>
      </c>
      <c r="D187" s="60">
        <f t="shared" si="82"/>
        <v>3020</v>
      </c>
      <c r="E187" s="60">
        <f t="shared" si="82"/>
        <v>857</v>
      </c>
      <c r="F187" s="60">
        <f t="shared" si="82"/>
        <v>1596</v>
      </c>
      <c r="G187" s="60">
        <f t="shared" si="82"/>
        <v>-2044</v>
      </c>
      <c r="H187" s="60"/>
    </row>
    <row r="189" spans="1:8" x14ac:dyDescent="0.25">
      <c r="A189" s="19" t="s">
        <v>337</v>
      </c>
      <c r="B189" s="92">
        <f>-B171/B102</f>
        <v>0.98177920685959275</v>
      </c>
      <c r="C189" s="92">
        <f t="shared" ref="C189:F189" si="83">-C171/C102</f>
        <v>0.99450549450549453</v>
      </c>
      <c r="D189" s="92">
        <f t="shared" si="83"/>
        <v>0.61506707946336425</v>
      </c>
      <c r="E189" s="92">
        <f t="shared" si="83"/>
        <v>0.77263581488933597</v>
      </c>
      <c r="F189" s="92">
        <f t="shared" si="83"/>
        <v>0.84028484231943035</v>
      </c>
      <c r="G189" s="92">
        <f>-G171/G102</f>
        <v>1.1580989330746847</v>
      </c>
      <c r="H189" s="92"/>
    </row>
    <row r="190" spans="1:8" x14ac:dyDescent="0.25">
      <c r="A190" s="19" t="s">
        <v>338</v>
      </c>
      <c r="B190" s="92">
        <f>B14/B102</f>
        <v>55.39228295819936</v>
      </c>
      <c r="C190" s="92">
        <f t="shared" ref="C190:G190" si="84">C14/C102</f>
        <v>57.260439560439558</v>
      </c>
      <c r="D190" s="92">
        <f t="shared" si="84"/>
        <v>54.484004127966976</v>
      </c>
      <c r="E190" s="92">
        <f t="shared" si="84"/>
        <v>54.017102615694164</v>
      </c>
      <c r="F190" s="92">
        <f t="shared" si="84"/>
        <v>53.892166836215665</v>
      </c>
      <c r="G190" s="92">
        <f t="shared" si="84"/>
        <v>64.562560620756543</v>
      </c>
      <c r="H190" s="92"/>
    </row>
    <row r="191" spans="1:8" x14ac:dyDescent="0.25">
      <c r="A191" s="19" t="s">
        <v>339</v>
      </c>
      <c r="B191" s="92">
        <f>-B16/B102</f>
        <v>4.514469453376206</v>
      </c>
      <c r="C191" s="92">
        <f t="shared" ref="C191:G191" si="85">-C16/C102</f>
        <v>4.2505494505494505</v>
      </c>
      <c r="D191" s="92">
        <f t="shared" si="85"/>
        <v>3.6769865841073273</v>
      </c>
      <c r="E191" s="92">
        <f t="shared" si="85"/>
        <v>3.2062374245472838</v>
      </c>
      <c r="F191" s="92">
        <f t="shared" si="85"/>
        <v>2.6286876907426246</v>
      </c>
      <c r="G191" s="92">
        <f t="shared" si="85"/>
        <v>2.0261881668283221</v>
      </c>
      <c r="H191" s="92"/>
    </row>
    <row r="192" spans="1:8" x14ac:dyDescent="0.25">
      <c r="A192" s="19" t="s">
        <v>340</v>
      </c>
      <c r="B192" s="92">
        <f>B190-B191</f>
        <v>50.877813504823152</v>
      </c>
      <c r="C192" s="92">
        <f t="shared" ref="C192:G192" si="86">C190-C191</f>
        <v>53.009890109890108</v>
      </c>
      <c r="D192" s="92">
        <f t="shared" si="86"/>
        <v>50.807017543859651</v>
      </c>
      <c r="E192" s="92">
        <f t="shared" si="86"/>
        <v>50.810865191146881</v>
      </c>
      <c r="F192" s="92">
        <f t="shared" si="86"/>
        <v>51.263479145473042</v>
      </c>
      <c r="G192" s="92">
        <f t="shared" si="86"/>
        <v>62.536372453928223</v>
      </c>
      <c r="H192" s="92"/>
    </row>
    <row r="193" spans="1:8" x14ac:dyDescent="0.25">
      <c r="A193" s="19" t="s">
        <v>341</v>
      </c>
      <c r="B193" s="83">
        <f>B191/B190</f>
        <v>8.1499970975793812E-2</v>
      </c>
      <c r="C193" s="83">
        <f t="shared" ref="C193:G193" si="87">C191/C190</f>
        <v>7.423186903870882E-2</v>
      </c>
      <c r="D193" s="83">
        <f t="shared" si="87"/>
        <v>6.7487451463206741E-2</v>
      </c>
      <c r="E193" s="83">
        <f t="shared" si="87"/>
        <v>5.9355968189521914E-2</v>
      </c>
      <c r="F193" s="83">
        <f t="shared" si="87"/>
        <v>4.8776804590758081E-2</v>
      </c>
      <c r="G193" s="83">
        <f t="shared" si="87"/>
        <v>3.1383330328706209E-2</v>
      </c>
      <c r="H193" s="83"/>
    </row>
    <row r="194" spans="1:8" x14ac:dyDescent="0.25">
      <c r="A194" s="19" t="s">
        <v>342</v>
      </c>
      <c r="B194" s="58" t="s">
        <v>343</v>
      </c>
      <c r="C194" s="58" t="s">
        <v>343</v>
      </c>
      <c r="D194" s="58" t="s">
        <v>343</v>
      </c>
      <c r="E194" s="58" t="s">
        <v>343</v>
      </c>
      <c r="F194" s="58" t="s">
        <v>343</v>
      </c>
      <c r="G194" s="58" t="s">
        <v>343</v>
      </c>
      <c r="H194" s="58"/>
    </row>
    <row r="196" spans="1:8" x14ac:dyDescent="0.25">
      <c r="A196" s="19" t="s">
        <v>344</v>
      </c>
    </row>
    <row r="197" spans="1:8" x14ac:dyDescent="0.25">
      <c r="A197" s="19" t="s">
        <v>345</v>
      </c>
    </row>
    <row r="198" spans="1:8" x14ac:dyDescent="0.25">
      <c r="A198" s="19" t="s">
        <v>346</v>
      </c>
    </row>
    <row r="199" spans="1:8" x14ac:dyDescent="0.25">
      <c r="A199" s="19" t="s">
        <v>347</v>
      </c>
    </row>
    <row r="200" spans="1:8" x14ac:dyDescent="0.25">
      <c r="A200" s="19" t="s">
        <v>348</v>
      </c>
    </row>
    <row r="201" spans="1:8" x14ac:dyDescent="0.25">
      <c r="A201" s="19" t="s">
        <v>349</v>
      </c>
    </row>
    <row r="202" spans="1:8" x14ac:dyDescent="0.25">
      <c r="A202" s="19" t="s">
        <v>350</v>
      </c>
    </row>
    <row r="203" spans="1:8" x14ac:dyDescent="0.25">
      <c r="A203" s="19" t="s">
        <v>351</v>
      </c>
    </row>
    <row r="204" spans="1:8" x14ac:dyDescent="0.25">
      <c r="A204" s="19" t="s">
        <v>352</v>
      </c>
    </row>
    <row r="205" spans="1:8" x14ac:dyDescent="0.25">
      <c r="A205" s="19" t="s">
        <v>353</v>
      </c>
    </row>
    <row r="207" spans="1:8" x14ac:dyDescent="0.25">
      <c r="A207" s="19" t="s">
        <v>354</v>
      </c>
    </row>
    <row r="208" spans="1:8" x14ac:dyDescent="0.25">
      <c r="A208" s="19" t="s">
        <v>355</v>
      </c>
    </row>
    <row r="209" spans="1:7" x14ac:dyDescent="0.25">
      <c r="A209" s="19" t="s">
        <v>356</v>
      </c>
    </row>
    <row r="211" spans="1:7" x14ac:dyDescent="0.25">
      <c r="A211" s="75" t="str">
        <f>A1</f>
        <v>Kraft Heinz Company</v>
      </c>
      <c r="B211" s="75" t="str">
        <f>B1</f>
        <v>Reclassified</v>
      </c>
      <c r="C211" s="75"/>
      <c r="D211" s="75"/>
      <c r="E211" s="75"/>
      <c r="F211" s="75"/>
      <c r="G211" s="75"/>
    </row>
    <row r="212" spans="1:7" x14ac:dyDescent="0.25">
      <c r="A212" s="75" t="s">
        <v>357</v>
      </c>
      <c r="B212" s="75"/>
      <c r="C212" s="75"/>
      <c r="D212" s="75"/>
      <c r="E212" s="75"/>
      <c r="F212" s="75"/>
      <c r="G212" s="75"/>
    </row>
    <row r="213" spans="1:7" x14ac:dyDescent="0.25">
      <c r="A213" s="75" t="str">
        <f>A3</f>
        <v>in millions except per share data</v>
      </c>
      <c r="B213" s="75"/>
      <c r="C213" s="75"/>
      <c r="D213" s="75"/>
      <c r="E213" s="75"/>
      <c r="F213" s="75"/>
      <c r="G213" s="75"/>
    </row>
    <row r="214" spans="1:7" ht="15.75" thickBot="1" x14ac:dyDescent="0.3">
      <c r="A214" s="76" t="str">
        <f>A4</f>
        <v>Fiscal year ended 12/31:</v>
      </c>
      <c r="B214" s="71">
        <f>B250</f>
        <v>2022</v>
      </c>
      <c r="C214" s="71">
        <v>2022</v>
      </c>
      <c r="D214" s="71">
        <v>2021</v>
      </c>
      <c r="E214" s="71">
        <v>2020</v>
      </c>
      <c r="F214" s="71">
        <v>2019</v>
      </c>
      <c r="G214" s="71">
        <v>2018</v>
      </c>
    </row>
    <row r="215" spans="1:7" x14ac:dyDescent="0.25">
      <c r="A215" s="92" t="s">
        <v>254</v>
      </c>
      <c r="B215" s="92">
        <f>B11-B28</f>
        <v>-1131</v>
      </c>
      <c r="C215" s="19">
        <f t="shared" ref="C215:G215" si="88">C11-C28</f>
        <v>-70</v>
      </c>
      <c r="D215" s="19">
        <f t="shared" si="88"/>
        <v>2761</v>
      </c>
      <c r="E215" s="19">
        <f t="shared" si="88"/>
        <v>222</v>
      </c>
      <c r="F215" s="19">
        <f t="shared" si="88"/>
        <v>1572</v>
      </c>
      <c r="G215" s="19">
        <f t="shared" si="88"/>
        <v>-2953</v>
      </c>
    </row>
    <row r="216" spans="1:7" x14ac:dyDescent="0.25">
      <c r="A216" s="92" t="s">
        <v>358</v>
      </c>
      <c r="B216" s="92">
        <f>B215+B23</f>
        <v>-294</v>
      </c>
      <c r="C216" s="19">
        <f t="shared" ref="C216:G216" si="89">C215+C23</f>
        <v>684</v>
      </c>
      <c r="D216" s="19">
        <f t="shared" si="89"/>
        <v>2997</v>
      </c>
      <c r="E216" s="19">
        <f t="shared" si="89"/>
        <v>1250</v>
      </c>
      <c r="F216" s="19">
        <f t="shared" si="89"/>
        <v>1970</v>
      </c>
      <c r="G216" s="19">
        <f t="shared" si="89"/>
        <v>242</v>
      </c>
    </row>
    <row r="217" spans="1:7" x14ac:dyDescent="0.25">
      <c r="A217" s="92" t="s">
        <v>359</v>
      </c>
      <c r="B217" s="92">
        <f>B216-B6-B7</f>
        <v>-1334</v>
      </c>
      <c r="C217" s="19">
        <f t="shared" ref="C217:G217" si="90">C216-C6-C7</f>
        <v>-2761</v>
      </c>
      <c r="D217" s="19">
        <f t="shared" si="90"/>
        <v>-420</v>
      </c>
      <c r="E217" s="19">
        <f t="shared" si="90"/>
        <v>-1029</v>
      </c>
      <c r="F217" s="19">
        <f t="shared" si="90"/>
        <v>840</v>
      </c>
      <c r="G217" s="19">
        <f t="shared" si="90"/>
        <v>-1387</v>
      </c>
    </row>
    <row r="218" spans="1:7" x14ac:dyDescent="0.25">
      <c r="A218" s="92"/>
      <c r="B218" s="92"/>
    </row>
    <row r="219" spans="1:7" x14ac:dyDescent="0.25">
      <c r="A219" s="92" t="s">
        <v>360</v>
      </c>
      <c r="B219" s="92">
        <f>B11/B28</f>
        <v>0.87472308373947716</v>
      </c>
      <c r="C219" s="92">
        <f t="shared" ref="C219:G219" si="91">C11/C28</f>
        <v>0.99227714033539272</v>
      </c>
      <c r="D219" s="92">
        <f t="shared" si="91"/>
        <v>1.342513335814415</v>
      </c>
      <c r="E219" s="92">
        <f t="shared" si="91"/>
        <v>1.0281904761904761</v>
      </c>
      <c r="F219" s="92">
        <f t="shared" si="91"/>
        <v>1.2095161935225909</v>
      </c>
      <c r="G219" s="92">
        <f t="shared" si="91"/>
        <v>0.70917864880835135</v>
      </c>
    </row>
    <row r="220" spans="1:7" x14ac:dyDescent="0.25">
      <c r="A220" s="92" t="s">
        <v>361</v>
      </c>
      <c r="B220" s="92">
        <f>SUM(B6:B8)/B28</f>
        <v>0.3500221533008418</v>
      </c>
      <c r="C220" s="92">
        <f t="shared" ref="C220:G220" si="92">SUM(C6:C8)/C28</f>
        <v>0.59598411297440423</v>
      </c>
      <c r="D220" s="92">
        <f t="shared" si="92"/>
        <v>0.67981639995037835</v>
      </c>
      <c r="E220" s="92">
        <f t="shared" si="92"/>
        <v>0.53993650793650794</v>
      </c>
      <c r="F220" s="92">
        <f t="shared" si="92"/>
        <v>0.43435958949753434</v>
      </c>
      <c r="G220" s="92">
        <f t="shared" si="92"/>
        <v>0.25113255859759703</v>
      </c>
    </row>
    <row r="221" spans="1:7" x14ac:dyDescent="0.25">
      <c r="A221" s="92" t="s">
        <v>362</v>
      </c>
      <c r="B221" s="92">
        <f>SUM(B6:B7)/B28</f>
        <v>0.11519716437749225</v>
      </c>
      <c r="C221" s="92">
        <f t="shared" ref="C221:G221" si="93">SUM(C6:C7)/C28</f>
        <v>0.38007502206531335</v>
      </c>
      <c r="D221" s="92">
        <f t="shared" si="93"/>
        <v>0.423892817268329</v>
      </c>
      <c r="E221" s="92">
        <f t="shared" si="93"/>
        <v>0.28939682539682537</v>
      </c>
      <c r="F221" s="92">
        <f t="shared" si="93"/>
        <v>0.15060642409702785</v>
      </c>
      <c r="G221" s="92">
        <f t="shared" si="93"/>
        <v>0.16042938743352372</v>
      </c>
    </row>
    <row r="222" spans="1:7" x14ac:dyDescent="0.25">
      <c r="A222" s="92"/>
      <c r="B222" s="92"/>
    </row>
    <row r="223" spans="1:7" x14ac:dyDescent="0.25">
      <c r="A223" s="92" t="s">
        <v>363</v>
      </c>
      <c r="B223" s="92"/>
    </row>
    <row r="224" spans="1:7" x14ac:dyDescent="0.25">
      <c r="A224" s="93" t="s">
        <v>364</v>
      </c>
      <c r="B224" s="92">
        <f>B60/AVERAGE(B8:C8)</f>
        <v>12.992396369879813</v>
      </c>
      <c r="C224" s="92">
        <f t="shared" ref="C224:G225" si="94">C60/AVERAGE(C8:D8)</f>
        <v>12.956218905472637</v>
      </c>
      <c r="D224" s="92">
        <f t="shared" si="94"/>
        <v>12.975718533201189</v>
      </c>
      <c r="E224" s="92">
        <f t="shared" si="94"/>
        <v>12.177961969770843</v>
      </c>
      <c r="F224" s="92">
        <f t="shared" si="94"/>
        <v>17.224918032786885</v>
      </c>
      <c r="G224" s="92">
        <f t="shared" si="94"/>
        <v>28.312703583061889</v>
      </c>
    </row>
    <row r="225" spans="1:7" x14ac:dyDescent="0.25">
      <c r="A225" s="93" t="s">
        <v>365</v>
      </c>
      <c r="B225" s="92">
        <f>B61/AVERAGE(B9:C9)</f>
        <v>5.7564263322884015</v>
      </c>
      <c r="C225" s="92">
        <f t="shared" si="94"/>
        <v>6.5720234715123986</v>
      </c>
      <c r="D225" s="92">
        <f t="shared" si="94"/>
        <v>6.4485308056872039</v>
      </c>
      <c r="E225" s="92">
        <f t="shared" si="94"/>
        <v>6.2472160356347439</v>
      </c>
      <c r="F225" s="92">
        <f t="shared" si="94"/>
        <v>6.3928505620047913</v>
      </c>
      <c r="G225" s="92">
        <f t="shared" si="94"/>
        <v>6.1749999999999998</v>
      </c>
    </row>
    <row r="226" spans="1:7" x14ac:dyDescent="0.25">
      <c r="A226" s="93" t="s">
        <v>366</v>
      </c>
      <c r="B226" s="92">
        <f>B241/AVERAGE(B24:C24)</f>
        <v>4.0587438808457454</v>
      </c>
      <c r="C226" s="92">
        <f t="shared" ref="C226:G226" si="95">C241/AVERAGE(C24:D24)</f>
        <v>3.8652975598984209</v>
      </c>
      <c r="D226" s="92">
        <f t="shared" si="95"/>
        <v>4.1548091970627183</v>
      </c>
      <c r="E226" s="92">
        <f t="shared" si="95"/>
        <v>4.1949485041687105</v>
      </c>
      <c r="F226" s="92">
        <f t="shared" si="95"/>
        <v>4.1334116265413972</v>
      </c>
      <c r="G226" s="92">
        <f t="shared" si="95"/>
        <v>3.9612563044475011</v>
      </c>
    </row>
    <row r="227" spans="1:7" x14ac:dyDescent="0.25">
      <c r="A227" s="92"/>
      <c r="B227" s="92"/>
      <c r="C227" s="92"/>
      <c r="D227" s="92"/>
      <c r="E227" s="92"/>
      <c r="F227" s="92"/>
    </row>
    <row r="228" spans="1:7" x14ac:dyDescent="0.25">
      <c r="A228" s="92" t="s">
        <v>367</v>
      </c>
      <c r="B228" s="92"/>
      <c r="C228" s="92"/>
      <c r="D228" s="92"/>
      <c r="E228" s="92"/>
      <c r="F228" s="92"/>
    </row>
    <row r="229" spans="1:7" x14ac:dyDescent="0.25">
      <c r="A229" s="94" t="s">
        <v>368</v>
      </c>
      <c r="B229" s="92">
        <f>360/B224</f>
        <v>27.708514253350955</v>
      </c>
      <c r="C229" s="92">
        <f t="shared" ref="C229:G230" si="96">360/C224</f>
        <v>27.78588434068044</v>
      </c>
      <c r="D229" s="92">
        <f t="shared" si="96"/>
        <v>27.744128317739165</v>
      </c>
      <c r="E229" s="92">
        <f t="shared" si="96"/>
        <v>29.561596668935422</v>
      </c>
      <c r="F229" s="92">
        <f t="shared" si="96"/>
        <v>20.899954317039743</v>
      </c>
      <c r="G229" s="92">
        <f t="shared" si="96"/>
        <v>12.715140358950759</v>
      </c>
    </row>
    <row r="230" spans="1:7" x14ac:dyDescent="0.25">
      <c r="A230" s="94" t="s">
        <v>369</v>
      </c>
      <c r="B230" s="92">
        <f>360/B225</f>
        <v>62.53880084953439</v>
      </c>
      <c r="C230" s="92">
        <f t="shared" si="96"/>
        <v>54.777649769585253</v>
      </c>
      <c r="D230" s="92">
        <f t="shared" si="96"/>
        <v>55.826669802445906</v>
      </c>
      <c r="E230" s="92">
        <f t="shared" si="96"/>
        <v>57.62566844919786</v>
      </c>
      <c r="F230" s="92">
        <f t="shared" si="96"/>
        <v>56.312907130916003</v>
      </c>
      <c r="G230" s="92">
        <f t="shared" si="96"/>
        <v>58.299595141700408</v>
      </c>
    </row>
    <row r="231" spans="1:7" x14ac:dyDescent="0.25">
      <c r="A231" s="93" t="s">
        <v>370</v>
      </c>
      <c r="B231" s="95">
        <f>B229+B230</f>
        <v>90.247315102885352</v>
      </c>
      <c r="C231" s="95">
        <f t="shared" ref="C231:G231" si="97">C229+C230</f>
        <v>82.563534110265692</v>
      </c>
      <c r="D231" s="95">
        <f t="shared" si="97"/>
        <v>83.570798120185074</v>
      </c>
      <c r="E231" s="95">
        <f t="shared" si="97"/>
        <v>87.187265118133283</v>
      </c>
      <c r="F231" s="95">
        <f t="shared" si="97"/>
        <v>77.212861447955746</v>
      </c>
      <c r="G231" s="95">
        <f t="shared" si="97"/>
        <v>71.01473550065117</v>
      </c>
    </row>
    <row r="232" spans="1:7" x14ac:dyDescent="0.25">
      <c r="A232" s="94" t="s">
        <v>371</v>
      </c>
      <c r="B232" s="92">
        <f>360/B226</f>
        <v>88.697392732498457</v>
      </c>
      <c r="C232" s="92">
        <f t="shared" ref="C232:G232" si="98">360/C226</f>
        <v>93.136425959780624</v>
      </c>
      <c r="D232" s="92">
        <f t="shared" si="98"/>
        <v>86.646578200150657</v>
      </c>
      <c r="E232" s="92">
        <f t="shared" si="98"/>
        <v>85.817501607529081</v>
      </c>
      <c r="F232" s="92">
        <f t="shared" si="98"/>
        <v>87.095124445959783</v>
      </c>
      <c r="G232" s="92">
        <f t="shared" si="98"/>
        <v>90.880259274263551</v>
      </c>
    </row>
    <row r="233" spans="1:7" ht="15.75" thickBot="1" x14ac:dyDescent="0.3">
      <c r="A233" s="93" t="s">
        <v>372</v>
      </c>
      <c r="B233" s="96">
        <f>B231-B232</f>
        <v>1.549922370386895</v>
      </c>
      <c r="C233" s="96">
        <f t="shared" ref="C233:G233" si="99">C231-C232</f>
        <v>-10.572891849514932</v>
      </c>
      <c r="D233" s="96">
        <f t="shared" si="99"/>
        <v>-3.0757800799655826</v>
      </c>
      <c r="E233" s="96">
        <f t="shared" si="99"/>
        <v>1.3697635106042014</v>
      </c>
      <c r="F233" s="96">
        <f t="shared" si="99"/>
        <v>-9.8822629980040375</v>
      </c>
      <c r="G233" s="96">
        <f t="shared" si="99"/>
        <v>-19.865523773612381</v>
      </c>
    </row>
    <row r="234" spans="1:7" ht="15.75" thickTop="1" x14ac:dyDescent="0.25">
      <c r="A234" s="92"/>
      <c r="B234" s="92"/>
    </row>
    <row r="235" spans="1:7" x14ac:dyDescent="0.25">
      <c r="A235" s="92" t="s">
        <v>373</v>
      </c>
      <c r="B235" s="92"/>
    </row>
    <row r="236" spans="1:7" x14ac:dyDescent="0.25">
      <c r="A236" s="93" t="s">
        <v>374</v>
      </c>
      <c r="B236" s="92">
        <f>B8/(B60/365)</f>
        <v>29.216537662828017</v>
      </c>
      <c r="C236" s="92">
        <f t="shared" ref="C236:G237" si="100">C8/(C60/365)</f>
        <v>27.428960909300361</v>
      </c>
      <c r="D236" s="92">
        <f t="shared" si="100"/>
        <v>28.756730952835596</v>
      </c>
      <c r="E236" s="92">
        <f t="shared" si="100"/>
        <v>28.83232573968051</v>
      </c>
      <c r="F236" s="92">
        <f t="shared" si="100"/>
        <v>29.582952641997871</v>
      </c>
      <c r="G236" s="92">
        <f>G8/(G60/365)</f>
        <v>12.891739530602852</v>
      </c>
    </row>
    <row r="237" spans="1:7" x14ac:dyDescent="0.25">
      <c r="A237" s="93" t="s">
        <v>375</v>
      </c>
      <c r="B237" s="92">
        <f>B9/(B61/365)</f>
        <v>72.570658389152101</v>
      </c>
      <c r="C237" s="92">
        <f t="shared" si="100"/>
        <v>57.378168202764982</v>
      </c>
      <c r="D237" s="92">
        <f t="shared" si="100"/>
        <v>54.810089369708372</v>
      </c>
      <c r="E237" s="92">
        <f t="shared" si="100"/>
        <v>59.011586452762927</v>
      </c>
      <c r="F237" s="92">
        <f t="shared" si="100"/>
        <v>56.116619588401456</v>
      </c>
      <c r="G237" s="92">
        <f t="shared" si="100"/>
        <v>59.109311740890682</v>
      </c>
    </row>
    <row r="238" spans="1:7" x14ac:dyDescent="0.25">
      <c r="A238" s="93" t="s">
        <v>376</v>
      </c>
      <c r="B238" s="92">
        <f>B24/(B241/365)</f>
        <v>90.819133648121536</v>
      </c>
      <c r="C238" s="92">
        <f t="shared" ref="C238:G238" si="101">C24/(C241/365)</f>
        <v>99.111345978062161</v>
      </c>
      <c r="D238" s="92">
        <f t="shared" si="101"/>
        <v>91.033203917250972</v>
      </c>
      <c r="E238" s="92">
        <f t="shared" si="101"/>
        <v>85.409189220786814</v>
      </c>
      <c r="F238" s="92">
        <f t="shared" si="101"/>
        <v>86.137345152858273</v>
      </c>
      <c r="G238" s="92">
        <f t="shared" si="101"/>
        <v>92.142485097517209</v>
      </c>
    </row>
    <row r="239" spans="1:7" x14ac:dyDescent="0.25">
      <c r="A239" s="92"/>
      <c r="B239" s="92"/>
    </row>
    <row r="240" spans="1:7" x14ac:dyDescent="0.25">
      <c r="A240" s="92" t="s">
        <v>377</v>
      </c>
      <c r="B240" s="97">
        <f>B60+B116</f>
        <v>26257</v>
      </c>
      <c r="C240" s="60">
        <f t="shared" ref="C240:G240" si="102">C60+C116</f>
        <v>26129</v>
      </c>
      <c r="D240" s="60">
        <f t="shared" si="102"/>
        <v>26159</v>
      </c>
      <c r="E240" s="60">
        <f t="shared" si="102"/>
        <v>25117</v>
      </c>
      <c r="F240" s="60">
        <f t="shared" si="102"/>
        <v>23988</v>
      </c>
      <c r="G240" s="60">
        <f t="shared" si="102"/>
        <v>23447</v>
      </c>
    </row>
    <row r="241" spans="1:7" x14ac:dyDescent="0.25">
      <c r="A241" s="92" t="s">
        <v>378</v>
      </c>
      <c r="B241" s="92">
        <f>B61-B117</f>
        <v>19484</v>
      </c>
      <c r="C241" s="19">
        <f t="shared" ref="C241:G241" si="103">C61-C117</f>
        <v>17504</v>
      </c>
      <c r="D241" s="19">
        <f t="shared" si="103"/>
        <v>17257</v>
      </c>
      <c r="E241" s="19">
        <f t="shared" si="103"/>
        <v>17107</v>
      </c>
      <c r="F241" s="19">
        <f t="shared" si="103"/>
        <v>17598</v>
      </c>
      <c r="G241" s="19">
        <f t="shared" si="103"/>
        <v>17279</v>
      </c>
    </row>
    <row r="242" spans="1:7" x14ac:dyDescent="0.25">
      <c r="A242" s="92" t="s">
        <v>298</v>
      </c>
      <c r="B242" s="92">
        <f>B241-B118</f>
        <v>19332</v>
      </c>
      <c r="C242" s="19">
        <f t="shared" ref="C242:G242" si="104">C241-C118</f>
        <v>17096</v>
      </c>
      <c r="D242" s="19">
        <f t="shared" si="104"/>
        <v>17050</v>
      </c>
      <c r="E242" s="19">
        <f t="shared" si="104"/>
        <v>17165</v>
      </c>
      <c r="F242" s="19">
        <f t="shared" si="104"/>
        <v>17621</v>
      </c>
      <c r="G242" s="19">
        <f t="shared" si="104"/>
        <v>16838</v>
      </c>
    </row>
    <row r="243" spans="1:7" x14ac:dyDescent="0.25">
      <c r="A243" s="92" t="s">
        <v>379</v>
      </c>
      <c r="B243" s="92">
        <f>B240-B121</f>
        <v>23788</v>
      </c>
      <c r="C243" s="19">
        <f t="shared" ref="C243:G243" si="105">C240-C121</f>
        <v>20765</v>
      </c>
      <c r="D243" s="19">
        <f t="shared" si="105"/>
        <v>21230</v>
      </c>
      <c r="E243" s="19">
        <f t="shared" si="105"/>
        <v>21565</v>
      </c>
      <c r="F243" s="19">
        <f t="shared" si="105"/>
        <v>21414</v>
      </c>
      <c r="G243" s="19">
        <f t="shared" si="105"/>
        <v>22946</v>
      </c>
    </row>
    <row r="244" spans="1:7" x14ac:dyDescent="0.25">
      <c r="A244" s="92" t="s">
        <v>380</v>
      </c>
      <c r="B244" s="92">
        <f>B240/365</f>
        <v>71.936986301369856</v>
      </c>
      <c r="C244" s="19">
        <f t="shared" ref="C244:G245" si="106">C240/365</f>
        <v>71.586301369863008</v>
      </c>
      <c r="D244" s="19">
        <f t="shared" si="106"/>
        <v>71.668493150684938</v>
      </c>
      <c r="E244" s="19">
        <f t="shared" si="106"/>
        <v>68.813698630136983</v>
      </c>
      <c r="F244" s="19">
        <f t="shared" si="106"/>
        <v>65.720547945205482</v>
      </c>
      <c r="G244" s="19">
        <f t="shared" si="106"/>
        <v>64.238356164383561</v>
      </c>
    </row>
    <row r="245" spans="1:7" x14ac:dyDescent="0.25">
      <c r="A245" s="92" t="s">
        <v>381</v>
      </c>
      <c r="B245" s="97">
        <f>B241/365</f>
        <v>53.38082191780822</v>
      </c>
      <c r="C245" s="60">
        <f t="shared" si="106"/>
        <v>47.956164383561642</v>
      </c>
      <c r="D245" s="60">
        <f t="shared" si="106"/>
        <v>47.279452054794518</v>
      </c>
      <c r="E245" s="60">
        <f t="shared" si="106"/>
        <v>46.868493150684934</v>
      </c>
      <c r="F245" s="60">
        <f t="shared" si="106"/>
        <v>48.213698630136989</v>
      </c>
      <c r="G245" s="60">
        <f t="shared" si="106"/>
        <v>47.339726027397262</v>
      </c>
    </row>
    <row r="247" spans="1:7" x14ac:dyDescent="0.25">
      <c r="A247" s="66" t="str">
        <f>A1</f>
        <v>Kraft Heinz Company</v>
      </c>
      <c r="B247" s="75" t="str">
        <f>B1</f>
        <v>Reclassified</v>
      </c>
      <c r="C247" s="75"/>
      <c r="D247" s="75"/>
      <c r="E247" s="75"/>
      <c r="F247" s="75"/>
      <c r="G247" s="75"/>
    </row>
    <row r="248" spans="1:7" x14ac:dyDescent="0.25">
      <c r="A248" s="75" t="s">
        <v>382</v>
      </c>
      <c r="B248" s="75"/>
      <c r="C248" s="75"/>
      <c r="D248" s="75"/>
      <c r="E248" s="75"/>
      <c r="F248" s="75"/>
      <c r="G248" s="75"/>
    </row>
    <row r="249" spans="1:7" x14ac:dyDescent="0.25">
      <c r="A249" s="66" t="str">
        <f>A3</f>
        <v>in millions except per share data</v>
      </c>
      <c r="B249" s="75"/>
      <c r="C249" s="75"/>
      <c r="D249" s="75"/>
      <c r="E249" s="75"/>
      <c r="F249" s="75"/>
      <c r="G249" s="75"/>
    </row>
    <row r="250" spans="1:7" ht="15.75" thickBot="1" x14ac:dyDescent="0.3">
      <c r="A250" s="102" t="str">
        <f>A4</f>
        <v>Fiscal year ended 12/31:</v>
      </c>
      <c r="B250" s="69">
        <f>B287</f>
        <v>2022</v>
      </c>
      <c r="C250" s="69">
        <f t="shared" ref="C250:G250" si="107">C287</f>
        <v>2021</v>
      </c>
      <c r="D250" s="69">
        <f t="shared" si="107"/>
        <v>2020</v>
      </c>
      <c r="E250" s="69">
        <f t="shared" si="107"/>
        <v>2019</v>
      </c>
      <c r="F250" s="69">
        <f t="shared" si="107"/>
        <v>2018</v>
      </c>
      <c r="G250" s="69">
        <f t="shared" si="107"/>
        <v>2017</v>
      </c>
    </row>
    <row r="251" spans="1:7" x14ac:dyDescent="0.25">
      <c r="A251" s="92" t="s">
        <v>383</v>
      </c>
    </row>
    <row r="252" spans="1:7" x14ac:dyDescent="0.25">
      <c r="A252" s="94" t="s">
        <v>384</v>
      </c>
      <c r="B252" s="60">
        <f>B254-B253</f>
        <v>21613</v>
      </c>
      <c r="C252" s="60">
        <f t="shared" ref="C252:G252" si="108">C254-C253</f>
        <v>22131</v>
      </c>
      <c r="D252" s="60">
        <f t="shared" si="108"/>
        <v>21281</v>
      </c>
      <c r="E252" s="60">
        <f t="shared" si="108"/>
        <v>20457</v>
      </c>
      <c r="F252" s="60">
        <f t="shared" si="108"/>
        <v>20518</v>
      </c>
      <c r="G252" s="60">
        <f t="shared" si="108"/>
        <v>22519</v>
      </c>
    </row>
    <row r="253" spans="1:7" x14ac:dyDescent="0.25">
      <c r="A253" s="94" t="s">
        <v>385</v>
      </c>
      <c r="B253" s="63">
        <f>B23+B29</f>
        <v>20070</v>
      </c>
      <c r="C253" s="63">
        <f t="shared" ref="C253:G253" si="109">C23+C29</f>
        <v>21815</v>
      </c>
      <c r="D253" s="63">
        <f t="shared" si="109"/>
        <v>28306</v>
      </c>
      <c r="E253" s="63">
        <f t="shared" si="109"/>
        <v>29244</v>
      </c>
      <c r="F253" s="63">
        <f t="shared" si="109"/>
        <v>31168</v>
      </c>
      <c r="G253" s="63">
        <f t="shared" si="109"/>
        <v>31503</v>
      </c>
    </row>
    <row r="254" spans="1:7" x14ac:dyDescent="0.25">
      <c r="A254" s="93" t="s">
        <v>386</v>
      </c>
      <c r="B254" s="19">
        <f>B258-B257</f>
        <v>41683</v>
      </c>
      <c r="C254" s="19">
        <f t="shared" ref="C254:G254" si="110">C258-C257</f>
        <v>43946</v>
      </c>
      <c r="D254" s="19">
        <f t="shared" si="110"/>
        <v>49587</v>
      </c>
      <c r="E254" s="19">
        <f t="shared" si="110"/>
        <v>49701</v>
      </c>
      <c r="F254" s="19">
        <f t="shared" si="110"/>
        <v>51686</v>
      </c>
      <c r="G254" s="19">
        <f t="shared" si="110"/>
        <v>54022</v>
      </c>
    </row>
    <row r="255" spans="1:7" x14ac:dyDescent="0.25">
      <c r="A255" s="94" t="s">
        <v>387</v>
      </c>
      <c r="B255" s="19">
        <v>0</v>
      </c>
      <c r="C255" s="19">
        <v>0</v>
      </c>
      <c r="D255" s="19">
        <v>0</v>
      </c>
      <c r="E255" s="19">
        <v>0</v>
      </c>
      <c r="F255" s="19">
        <v>0</v>
      </c>
      <c r="G255" s="19">
        <v>0</v>
      </c>
    </row>
    <row r="256" spans="1:7" x14ac:dyDescent="0.25">
      <c r="A256" s="94" t="s">
        <v>35</v>
      </c>
      <c r="B256" s="63">
        <f>B257</f>
        <v>48830</v>
      </c>
      <c r="C256" s="63">
        <f t="shared" ref="C256:G256" si="111">C257</f>
        <v>49448</v>
      </c>
      <c r="D256" s="63">
        <f t="shared" si="111"/>
        <v>50243</v>
      </c>
      <c r="E256" s="63">
        <f t="shared" si="111"/>
        <v>51749</v>
      </c>
      <c r="F256" s="63">
        <f t="shared" si="111"/>
        <v>51775</v>
      </c>
      <c r="G256" s="63">
        <f t="shared" si="111"/>
        <v>66070</v>
      </c>
    </row>
    <row r="257" spans="1:7" x14ac:dyDescent="0.25">
      <c r="A257" s="93" t="s">
        <v>106</v>
      </c>
      <c r="B257" s="19">
        <f>B34</f>
        <v>48830</v>
      </c>
      <c r="C257" s="19">
        <f t="shared" ref="C257:G257" si="112">C34</f>
        <v>49448</v>
      </c>
      <c r="D257" s="19">
        <f t="shared" si="112"/>
        <v>50243</v>
      </c>
      <c r="E257" s="19">
        <f t="shared" si="112"/>
        <v>51749</v>
      </c>
      <c r="F257" s="19">
        <f t="shared" si="112"/>
        <v>51775</v>
      </c>
      <c r="G257" s="19">
        <f t="shared" si="112"/>
        <v>66070</v>
      </c>
    </row>
    <row r="258" spans="1:7" ht="15.75" thickBot="1" x14ac:dyDescent="0.3">
      <c r="A258" s="93" t="s">
        <v>84</v>
      </c>
      <c r="B258" s="74">
        <f>B21</f>
        <v>90513</v>
      </c>
      <c r="C258" s="74">
        <f t="shared" ref="C258:G258" si="113">C21</f>
        <v>93394</v>
      </c>
      <c r="D258" s="74">
        <f t="shared" si="113"/>
        <v>99830</v>
      </c>
      <c r="E258" s="74">
        <f t="shared" si="113"/>
        <v>101450</v>
      </c>
      <c r="F258" s="74">
        <f t="shared" si="113"/>
        <v>103461</v>
      </c>
      <c r="G258" s="74">
        <f t="shared" si="113"/>
        <v>120092</v>
      </c>
    </row>
    <row r="259" spans="1:7" ht="15.75" thickTop="1" x14ac:dyDescent="0.25">
      <c r="A259" s="92" t="s">
        <v>388</v>
      </c>
    </row>
    <row r="260" spans="1:7" x14ac:dyDescent="0.25">
      <c r="A260" s="94" t="s">
        <v>384</v>
      </c>
      <c r="B260" s="83">
        <f>B252/B258</f>
        <v>0.23878337918310077</v>
      </c>
      <c r="C260" s="83">
        <f t="shared" ref="C260:G260" si="114">C252/C258</f>
        <v>0.23696383065293275</v>
      </c>
      <c r="D260" s="83">
        <f t="shared" si="114"/>
        <v>0.21317239306821598</v>
      </c>
      <c r="E260" s="83">
        <f t="shared" si="114"/>
        <v>0.20164613109906357</v>
      </c>
      <c r="F260" s="83">
        <f t="shared" si="114"/>
        <v>0.19831627376499358</v>
      </c>
      <c r="G260" s="83">
        <f t="shared" si="114"/>
        <v>0.18751457216134296</v>
      </c>
    </row>
    <row r="261" spans="1:7" x14ac:dyDescent="0.25">
      <c r="A261" s="94" t="s">
        <v>385</v>
      </c>
      <c r="B261" s="84">
        <f>B253/B258</f>
        <v>0.22173610420602566</v>
      </c>
      <c r="C261" s="84">
        <f t="shared" ref="C261:G261" si="115">C253/C258</f>
        <v>0.23358031565196907</v>
      </c>
      <c r="D261" s="84">
        <f t="shared" si="115"/>
        <v>0.28354202143644197</v>
      </c>
      <c r="E261" s="84">
        <f t="shared" si="115"/>
        <v>0.28826022671266632</v>
      </c>
      <c r="F261" s="84">
        <f t="shared" si="115"/>
        <v>0.30125361247233257</v>
      </c>
      <c r="G261" s="84">
        <f t="shared" si="115"/>
        <v>0.26232388502148352</v>
      </c>
    </row>
    <row r="262" spans="1:7" x14ac:dyDescent="0.25">
      <c r="A262" s="93" t="s">
        <v>386</v>
      </c>
      <c r="B262" s="83">
        <f>B254/B258</f>
        <v>0.46051948338912641</v>
      </c>
      <c r="C262" s="83">
        <f t="shared" ref="C262:G262" si="116">C254/C258</f>
        <v>0.47054414630490182</v>
      </c>
      <c r="D262" s="83">
        <f t="shared" si="116"/>
        <v>0.49671441450465792</v>
      </c>
      <c r="E262" s="83">
        <f t="shared" si="116"/>
        <v>0.48990635781172992</v>
      </c>
      <c r="F262" s="83">
        <f t="shared" si="116"/>
        <v>0.49956988623732612</v>
      </c>
      <c r="G262" s="83">
        <f t="shared" si="116"/>
        <v>0.4498384571828265</v>
      </c>
    </row>
    <row r="263" spans="1:7" x14ac:dyDescent="0.25">
      <c r="A263" s="94" t="s">
        <v>387</v>
      </c>
      <c r="B263" s="83">
        <f>B255/B258</f>
        <v>0</v>
      </c>
      <c r="C263" s="83">
        <f t="shared" ref="C263:G263" si="117">C255/C258</f>
        <v>0</v>
      </c>
      <c r="D263" s="83">
        <f t="shared" si="117"/>
        <v>0</v>
      </c>
      <c r="E263" s="83">
        <f t="shared" si="117"/>
        <v>0</v>
      </c>
      <c r="F263" s="83">
        <f t="shared" si="117"/>
        <v>0</v>
      </c>
      <c r="G263" s="83">
        <f t="shared" si="117"/>
        <v>0</v>
      </c>
    </row>
    <row r="264" spans="1:7" x14ac:dyDescent="0.25">
      <c r="A264" s="94" t="s">
        <v>35</v>
      </c>
      <c r="B264" s="84">
        <f>B256/B258</f>
        <v>0.53948051661087359</v>
      </c>
      <c r="C264" s="84">
        <f t="shared" ref="C264:G264" si="118">C256/C258</f>
        <v>0.52945585369509818</v>
      </c>
      <c r="D264" s="84">
        <f t="shared" si="118"/>
        <v>0.50328558549534208</v>
      </c>
      <c r="E264" s="84">
        <f t="shared" si="118"/>
        <v>0.51009364218827014</v>
      </c>
      <c r="F264" s="84">
        <f t="shared" si="118"/>
        <v>0.50043011376267388</v>
      </c>
      <c r="G264" s="84">
        <f t="shared" si="118"/>
        <v>0.55016154281717355</v>
      </c>
    </row>
    <row r="265" spans="1:7" x14ac:dyDescent="0.25">
      <c r="A265" s="93" t="s">
        <v>106</v>
      </c>
      <c r="B265" s="83">
        <f>B257/B258</f>
        <v>0.53948051661087359</v>
      </c>
      <c r="C265" s="83">
        <f t="shared" ref="C265:G265" si="119">C257/C258</f>
        <v>0.52945585369509818</v>
      </c>
      <c r="D265" s="83">
        <f t="shared" si="119"/>
        <v>0.50328558549534208</v>
      </c>
      <c r="E265" s="83">
        <f t="shared" si="119"/>
        <v>0.51009364218827014</v>
      </c>
      <c r="F265" s="83">
        <f t="shared" si="119"/>
        <v>0.50043011376267388</v>
      </c>
      <c r="G265" s="83">
        <f t="shared" si="119"/>
        <v>0.55016154281717355</v>
      </c>
    </row>
    <row r="266" spans="1:7" ht="15.75" thickBot="1" x14ac:dyDescent="0.3">
      <c r="A266" s="93" t="s">
        <v>84</v>
      </c>
      <c r="B266" s="86">
        <f>B258/B258</f>
        <v>1</v>
      </c>
      <c r="C266" s="86">
        <f t="shared" ref="C266:G266" si="120">C258/C258</f>
        <v>1</v>
      </c>
      <c r="D266" s="86">
        <f t="shared" si="120"/>
        <v>1</v>
      </c>
      <c r="E266" s="86">
        <f t="shared" si="120"/>
        <v>1</v>
      </c>
      <c r="F266" s="86">
        <f t="shared" si="120"/>
        <v>1</v>
      </c>
      <c r="G266" s="86">
        <f t="shared" si="120"/>
        <v>1</v>
      </c>
    </row>
    <row r="267" spans="1:7" ht="15.75" thickTop="1" x14ac:dyDescent="0.25">
      <c r="A267" s="92" t="s">
        <v>389</v>
      </c>
    </row>
    <row r="268" spans="1:7" x14ac:dyDescent="0.25">
      <c r="A268" s="94" t="s">
        <v>385</v>
      </c>
      <c r="B268" s="60">
        <f>B253</f>
        <v>20070</v>
      </c>
      <c r="C268" s="60">
        <f t="shared" ref="C268:G268" si="121">C253</f>
        <v>21815</v>
      </c>
      <c r="D268" s="60">
        <f t="shared" si="121"/>
        <v>28306</v>
      </c>
      <c r="E268" s="60">
        <f t="shared" si="121"/>
        <v>29244</v>
      </c>
      <c r="F268" s="60">
        <f t="shared" si="121"/>
        <v>31168</v>
      </c>
      <c r="G268" s="60">
        <f t="shared" si="121"/>
        <v>31503</v>
      </c>
    </row>
    <row r="269" spans="1:7" x14ac:dyDescent="0.25">
      <c r="A269" s="94" t="s">
        <v>111</v>
      </c>
      <c r="B269" s="19">
        <f>B41</f>
        <v>46709.25</v>
      </c>
      <c r="C269" s="19">
        <f t="shared" ref="C269:G269" si="122">C41</f>
        <v>48005.279999999999</v>
      </c>
      <c r="D269" s="19">
        <f t="shared" si="122"/>
        <v>44492.740000000005</v>
      </c>
      <c r="E269" s="19">
        <f t="shared" si="122"/>
        <v>30244.17</v>
      </c>
      <c r="F269" s="19">
        <f t="shared" si="122"/>
        <v>40491.799999999996</v>
      </c>
      <c r="G269" s="19">
        <f t="shared" si="122"/>
        <v>81843.66</v>
      </c>
    </row>
    <row r="270" spans="1:7" ht="15.75" thickBot="1" x14ac:dyDescent="0.3">
      <c r="A270" s="93" t="s">
        <v>390</v>
      </c>
      <c r="B270" s="74">
        <f>B268+B269</f>
        <v>66779.25</v>
      </c>
      <c r="C270" s="74">
        <f t="shared" ref="C270:G270" si="123">C268+C269</f>
        <v>69820.28</v>
      </c>
      <c r="D270" s="74">
        <f t="shared" si="123"/>
        <v>72798.740000000005</v>
      </c>
      <c r="E270" s="74">
        <f t="shared" si="123"/>
        <v>59488.17</v>
      </c>
      <c r="F270" s="74">
        <f t="shared" si="123"/>
        <v>71659.799999999988</v>
      </c>
      <c r="G270" s="74">
        <f t="shared" si="123"/>
        <v>113346.66</v>
      </c>
    </row>
    <row r="271" spans="1:7" ht="15.75" thickTop="1" x14ac:dyDescent="0.25">
      <c r="A271" s="92" t="s">
        <v>391</v>
      </c>
    </row>
    <row r="272" spans="1:7" x14ac:dyDescent="0.25">
      <c r="A272" s="94" t="s">
        <v>385</v>
      </c>
      <c r="B272" s="83">
        <f>B268/B270</f>
        <v>0.30054245892249465</v>
      </c>
      <c r="C272" s="83">
        <f t="shared" ref="C272:G272" si="124">C268/C270</f>
        <v>0.31244503745903052</v>
      </c>
      <c r="D272" s="83">
        <f t="shared" si="124"/>
        <v>0.3888254109892561</v>
      </c>
      <c r="E272" s="83">
        <f t="shared" si="124"/>
        <v>0.49159353868172445</v>
      </c>
      <c r="F272" s="83">
        <f t="shared" si="124"/>
        <v>0.43494399928551303</v>
      </c>
      <c r="G272" s="83">
        <f t="shared" si="124"/>
        <v>0.27793496517674188</v>
      </c>
    </row>
    <row r="273" spans="1:8" x14ac:dyDescent="0.25">
      <c r="A273" s="94" t="s">
        <v>111</v>
      </c>
      <c r="B273" s="83">
        <f>B269/B270</f>
        <v>0.69945754107750535</v>
      </c>
      <c r="C273" s="83">
        <f t="shared" ref="C273:G273" si="125">C269/C270</f>
        <v>0.68755496254096948</v>
      </c>
      <c r="D273" s="83">
        <f t="shared" si="125"/>
        <v>0.61117458901074384</v>
      </c>
      <c r="E273" s="83">
        <f t="shared" si="125"/>
        <v>0.50840646131827549</v>
      </c>
      <c r="F273" s="83">
        <f t="shared" si="125"/>
        <v>0.56505600071448714</v>
      </c>
      <c r="G273" s="83">
        <f t="shared" si="125"/>
        <v>0.72206503482325812</v>
      </c>
    </row>
    <row r="274" spans="1:8" ht="15.75" thickBot="1" x14ac:dyDescent="0.3">
      <c r="A274" s="93" t="s">
        <v>390</v>
      </c>
      <c r="B274" s="86">
        <f>B270/B270</f>
        <v>1</v>
      </c>
      <c r="C274" s="86">
        <f t="shared" ref="C274:G274" si="126">C270/C270</f>
        <v>1</v>
      </c>
      <c r="D274" s="86">
        <f t="shared" si="126"/>
        <v>1</v>
      </c>
      <c r="E274" s="86">
        <f t="shared" si="126"/>
        <v>1</v>
      </c>
      <c r="F274" s="86">
        <f t="shared" si="126"/>
        <v>1</v>
      </c>
      <c r="G274" s="86">
        <f t="shared" si="126"/>
        <v>1</v>
      </c>
    </row>
    <row r="275" spans="1:8" ht="15.75" thickTop="1" x14ac:dyDescent="0.25">
      <c r="A275" s="92"/>
    </row>
    <row r="276" spans="1:8" x14ac:dyDescent="0.25">
      <c r="A276" s="92" t="s">
        <v>392</v>
      </c>
      <c r="B276" s="98">
        <f>AVERAGE(B258:C258)/AVERAGE(B257:C257)</f>
        <v>1.8712936771200066</v>
      </c>
      <c r="C276" s="98">
        <f t="shared" ref="C276:F276" si="127">AVERAGE(C258:D258)/AVERAGE(C257:D257)</f>
        <v>1.938229128005537</v>
      </c>
      <c r="D276" s="98">
        <f t="shared" si="127"/>
        <v>1.9734881167150364</v>
      </c>
      <c r="E276" s="98">
        <f t="shared" si="127"/>
        <v>1.9793574436845562</v>
      </c>
      <c r="F276" s="98">
        <f t="shared" si="127"/>
        <v>1.8970087827230684</v>
      </c>
      <c r="G276" s="98"/>
    </row>
    <row r="277" spans="1:8" x14ac:dyDescent="0.25">
      <c r="A277" s="92" t="s">
        <v>393</v>
      </c>
      <c r="B277" s="98"/>
      <c r="C277" s="98"/>
      <c r="D277" s="98"/>
      <c r="E277" s="98"/>
      <c r="F277" s="98"/>
      <c r="G277" s="98"/>
    </row>
    <row r="278" spans="1:8" x14ac:dyDescent="0.25">
      <c r="A278" s="93" t="s">
        <v>394</v>
      </c>
      <c r="B278" s="98">
        <f>B69/B70</f>
        <v>3.9457111834961998</v>
      </c>
      <c r="C278" s="98">
        <f t="shared" ref="C278:G278" si="128">C69/C70</f>
        <v>1.6902784562774793</v>
      </c>
      <c r="D278" s="98">
        <f t="shared" si="128"/>
        <v>1.5265423242467719</v>
      </c>
      <c r="E278" s="98">
        <f t="shared" si="128"/>
        <v>2.2556943423952975</v>
      </c>
      <c r="F278" s="98">
        <f t="shared" si="128"/>
        <v>-7.9478193146417446</v>
      </c>
      <c r="G278" s="98">
        <f t="shared" si="128"/>
        <v>4.9084278768233389</v>
      </c>
    </row>
    <row r="279" spans="1:8" x14ac:dyDescent="0.25">
      <c r="A279" s="93" t="s">
        <v>395</v>
      </c>
      <c r="B279" s="98">
        <f>(B69-B130)/(B70-B130)</f>
        <v>3.4798903107861059</v>
      </c>
      <c r="C279" s="98">
        <f t="shared" ref="C279:G279" si="129">(C69-C130)/(C70-C130)</f>
        <v>1.6356275303643724</v>
      </c>
      <c r="D279" s="98">
        <f t="shared" si="129"/>
        <v>1.4684109763880024</v>
      </c>
      <c r="E279" s="98">
        <f t="shared" si="129"/>
        <v>2.1011597938144329</v>
      </c>
      <c r="F279" s="98">
        <f t="shared" si="129"/>
        <v>-6.7419137466307282</v>
      </c>
      <c r="G279" s="98">
        <f t="shared" si="129"/>
        <v>4.2631935047361296</v>
      </c>
    </row>
    <row r="280" spans="1:8" x14ac:dyDescent="0.25">
      <c r="A280" s="93" t="s">
        <v>396</v>
      </c>
      <c r="B280" s="98">
        <f>B253/B90</f>
        <v>4.1682242990654208</v>
      </c>
      <c r="C280" s="98">
        <f t="shared" ref="C280:G280" si="130">C253/C90</f>
        <v>4.688373092628412</v>
      </c>
      <c r="D280" s="98">
        <f t="shared" si="130"/>
        <v>8.3547815820543097</v>
      </c>
      <c r="E280" s="98">
        <f t="shared" si="130"/>
        <v>5.8278198485452375</v>
      </c>
      <c r="F280" s="98">
        <f t="shared" si="130"/>
        <v>-3.4661921708185055</v>
      </c>
      <c r="G280" s="98">
        <f t="shared" si="130"/>
        <v>4.0785862247540132</v>
      </c>
    </row>
    <row r="281" spans="1:8" x14ac:dyDescent="0.25">
      <c r="A281" s="92"/>
      <c r="B281" s="98"/>
      <c r="C281" s="98"/>
      <c r="D281" s="98"/>
      <c r="E281" s="98"/>
      <c r="F281" s="98"/>
      <c r="G281" s="98"/>
    </row>
    <row r="282" spans="1:8" x14ac:dyDescent="0.25">
      <c r="A282" s="92" t="s">
        <v>397</v>
      </c>
      <c r="B282" s="99">
        <f>-B38*B40</f>
        <v>686.34</v>
      </c>
      <c r="C282" s="99">
        <f t="shared" ref="C282:G282" si="131">-C38*C40</f>
        <v>431.41999999999996</v>
      </c>
      <c r="D282" s="99">
        <f t="shared" si="131"/>
        <v>181.9</v>
      </c>
      <c r="E282" s="99">
        <f t="shared" si="131"/>
        <v>74.31</v>
      </c>
      <c r="F282" s="99">
        <f t="shared" si="131"/>
        <v>132.76</v>
      </c>
      <c r="G282" s="99">
        <f t="shared" si="131"/>
        <v>134.28</v>
      </c>
    </row>
    <row r="284" spans="1:8" s="53" customFormat="1" x14ac:dyDescent="0.25">
      <c r="A284" s="66" t="str">
        <f>+A1</f>
        <v>Kraft Heinz Company</v>
      </c>
      <c r="B284" s="66"/>
      <c r="C284" s="66"/>
      <c r="D284" s="66"/>
      <c r="E284" s="66"/>
      <c r="F284" s="66"/>
      <c r="G284" s="66"/>
    </row>
    <row r="285" spans="1:8" s="53" customFormat="1" x14ac:dyDescent="0.25">
      <c r="A285" s="66" t="s">
        <v>184</v>
      </c>
      <c r="B285" s="66"/>
      <c r="C285" s="66"/>
      <c r="D285" s="66"/>
      <c r="E285" s="66"/>
      <c r="F285" s="66"/>
      <c r="G285" s="66"/>
    </row>
    <row r="286" spans="1:8" s="53" customFormat="1" x14ac:dyDescent="0.25">
      <c r="A286" s="66" t="str">
        <f>+A3</f>
        <v>in millions except per share data</v>
      </c>
      <c r="B286" s="66"/>
      <c r="C286" s="66"/>
      <c r="D286" s="66"/>
      <c r="E286" s="66"/>
      <c r="F286" s="66"/>
      <c r="G286" s="67"/>
      <c r="H286" s="65"/>
    </row>
    <row r="287" spans="1:8" s="53" customFormat="1" ht="15.75" thickBot="1" x14ac:dyDescent="0.3">
      <c r="A287" s="67" t="str">
        <f>+A4</f>
        <v>Fiscal year ended 12/31:</v>
      </c>
      <c r="B287" s="69">
        <f>B308</f>
        <v>2022</v>
      </c>
      <c r="C287" s="69">
        <f t="shared" ref="C287:G287" si="132">C308</f>
        <v>2021</v>
      </c>
      <c r="D287" s="69">
        <f t="shared" si="132"/>
        <v>2020</v>
      </c>
      <c r="E287" s="69">
        <f t="shared" si="132"/>
        <v>2019</v>
      </c>
      <c r="F287" s="69">
        <f t="shared" si="132"/>
        <v>2018</v>
      </c>
      <c r="G287" s="69">
        <f t="shared" si="132"/>
        <v>2017</v>
      </c>
      <c r="H287" s="77"/>
    </row>
    <row r="288" spans="1:8" s="20" customFormat="1" x14ac:dyDescent="0.25">
      <c r="A288" s="20" t="s">
        <v>185</v>
      </c>
      <c r="B288" s="23">
        <v>945</v>
      </c>
      <c r="C288" s="23">
        <v>1039</v>
      </c>
      <c r="D288" s="23">
        <v>1070</v>
      </c>
      <c r="E288" s="23">
        <v>1100</v>
      </c>
      <c r="F288" s="23">
        <v>1140</v>
      </c>
      <c r="G288" s="23">
        <v>1115</v>
      </c>
      <c r="H288" s="23"/>
    </row>
    <row r="289" spans="1:8" s="20" customFormat="1" x14ac:dyDescent="0.25">
      <c r="A289" s="20" t="s">
        <v>186</v>
      </c>
      <c r="B289" s="22">
        <v>127</v>
      </c>
      <c r="C289" s="22">
        <v>140</v>
      </c>
      <c r="D289" s="22">
        <v>119</v>
      </c>
      <c r="E289" s="22">
        <v>112</v>
      </c>
      <c r="F289" s="22">
        <v>109</v>
      </c>
      <c r="G289" s="22">
        <v>93</v>
      </c>
      <c r="H289" s="22"/>
    </row>
    <row r="290" spans="1:8" s="20" customFormat="1" x14ac:dyDescent="0.25">
      <c r="B290" s="21"/>
      <c r="C290" s="21"/>
      <c r="D290" s="21"/>
      <c r="E290" s="21"/>
      <c r="F290" s="21"/>
      <c r="G290" s="21"/>
      <c r="H290" s="21"/>
    </row>
    <row r="291" spans="1:8" x14ac:dyDescent="0.25">
      <c r="A291" s="19" t="s">
        <v>187</v>
      </c>
      <c r="B291" s="60">
        <v>200</v>
      </c>
      <c r="C291" s="60">
        <v>207</v>
      </c>
      <c r="D291" s="60">
        <v>219</v>
      </c>
      <c r="E291" s="60">
        <v>210</v>
      </c>
      <c r="F291" s="60">
        <v>218</v>
      </c>
      <c r="G291" s="60">
        <v>250</v>
      </c>
      <c r="H291" s="60"/>
    </row>
    <row r="292" spans="1:8" x14ac:dyDescent="0.25">
      <c r="A292" s="19" t="s">
        <v>188</v>
      </c>
      <c r="B292" s="19">
        <v>1161</v>
      </c>
      <c r="C292" s="19">
        <v>1002</v>
      </c>
      <c r="D292" s="19">
        <v>792</v>
      </c>
      <c r="E292" s="19">
        <v>1033</v>
      </c>
      <c r="F292" s="19">
        <v>1165</v>
      </c>
      <c r="G292" s="19">
        <v>1345</v>
      </c>
    </row>
    <row r="293" spans="1:8" x14ac:dyDescent="0.25">
      <c r="A293" s="19" t="s">
        <v>189</v>
      </c>
      <c r="B293" s="19">
        <f>+B294-B292-B291</f>
        <v>51681</v>
      </c>
      <c r="C293" s="19">
        <f t="shared" ref="C293:G293" si="133">+C294-C292-C291</f>
        <v>52107</v>
      </c>
      <c r="D293" s="19">
        <f t="shared" si="133"/>
        <v>52795</v>
      </c>
      <c r="E293" s="19">
        <f t="shared" si="133"/>
        <v>53693</v>
      </c>
      <c r="F293" s="19">
        <f t="shared" si="133"/>
        <v>52976</v>
      </c>
      <c r="G293" s="19">
        <f t="shared" si="133"/>
        <v>66564</v>
      </c>
    </row>
    <row r="294" spans="1:8" x14ac:dyDescent="0.25">
      <c r="A294" s="19" t="s">
        <v>190</v>
      </c>
      <c r="B294" s="57">
        <f>+B296-B295</f>
        <v>53042</v>
      </c>
      <c r="C294" s="57">
        <f t="shared" ref="C294:G294" si="134">+C296-C295</f>
        <v>53316</v>
      </c>
      <c r="D294" s="57">
        <f t="shared" si="134"/>
        <v>53806</v>
      </c>
      <c r="E294" s="57">
        <f t="shared" si="134"/>
        <v>54936</v>
      </c>
      <c r="F294" s="57">
        <f t="shared" si="134"/>
        <v>54359</v>
      </c>
      <c r="G294" s="57">
        <f t="shared" si="134"/>
        <v>68159</v>
      </c>
      <c r="H294" s="80"/>
    </row>
    <row r="295" spans="1:8" x14ac:dyDescent="0.25">
      <c r="A295" s="19" t="s">
        <v>191</v>
      </c>
      <c r="B295" s="19">
        <v>-4212</v>
      </c>
      <c r="C295" s="19">
        <v>-3868</v>
      </c>
      <c r="D295" s="19">
        <v>-3563</v>
      </c>
      <c r="E295" s="19">
        <v>-3187</v>
      </c>
      <c r="F295" s="19">
        <v>-2584</v>
      </c>
      <c r="G295" s="19">
        <v>-2089</v>
      </c>
    </row>
    <row r="296" spans="1:8" ht="15.75" thickBot="1" x14ac:dyDescent="0.3">
      <c r="A296" s="19" t="s">
        <v>22</v>
      </c>
      <c r="B296" s="74">
        <f t="shared" ref="B296:G296" si="135">+B54</f>
        <v>48830</v>
      </c>
      <c r="C296" s="74">
        <f t="shared" si="135"/>
        <v>49448</v>
      </c>
      <c r="D296" s="74">
        <f t="shared" si="135"/>
        <v>50243</v>
      </c>
      <c r="E296" s="74">
        <f t="shared" si="135"/>
        <v>51749</v>
      </c>
      <c r="F296" s="74">
        <f t="shared" si="135"/>
        <v>51775</v>
      </c>
      <c r="G296" s="74">
        <f t="shared" si="135"/>
        <v>66070</v>
      </c>
      <c r="H296" s="85"/>
    </row>
    <row r="297" spans="1:8" ht="15.75" thickTop="1" x14ac:dyDescent="0.25"/>
    <row r="298" spans="1:8" x14ac:dyDescent="0.25">
      <c r="A298" s="19" t="s">
        <v>192</v>
      </c>
      <c r="B298" s="60">
        <v>672</v>
      </c>
      <c r="C298" s="60">
        <v>671</v>
      </c>
      <c r="D298" s="60">
        <v>705</v>
      </c>
      <c r="E298" s="60">
        <v>708</v>
      </c>
      <c r="F298" s="60">
        <v>693</v>
      </c>
      <c r="G298" s="60">
        <v>680</v>
      </c>
      <c r="H298" s="60"/>
    </row>
    <row r="300" spans="1:8" x14ac:dyDescent="0.25">
      <c r="A300" s="19" t="s">
        <v>193</v>
      </c>
      <c r="B300" s="60">
        <v>668</v>
      </c>
      <c r="C300" s="60">
        <v>569</v>
      </c>
      <c r="D300" s="60">
        <v>562</v>
      </c>
      <c r="E300" s="60">
        <v>542</v>
      </c>
      <c r="F300" s="60">
        <v>0</v>
      </c>
      <c r="G300" s="60">
        <v>0</v>
      </c>
      <c r="H300" s="60"/>
    </row>
    <row r="301" spans="1:8" x14ac:dyDescent="0.25">
      <c r="A301" s="19" t="s">
        <v>194</v>
      </c>
      <c r="B301" s="19">
        <v>125</v>
      </c>
      <c r="C301" s="19">
        <v>133</v>
      </c>
      <c r="D301" s="19">
        <v>135</v>
      </c>
      <c r="E301" s="19">
        <v>147</v>
      </c>
      <c r="F301" s="19">
        <v>0</v>
      </c>
      <c r="G301" s="19">
        <v>0</v>
      </c>
    </row>
    <row r="302" spans="1:8" x14ac:dyDescent="0.25">
      <c r="A302" s="19" t="s">
        <v>195</v>
      </c>
      <c r="B302" s="60">
        <v>585</v>
      </c>
      <c r="C302" s="60">
        <v>484</v>
      </c>
      <c r="D302" s="60">
        <v>475</v>
      </c>
      <c r="E302" s="60">
        <v>454</v>
      </c>
      <c r="F302" s="60">
        <v>0</v>
      </c>
      <c r="G302" s="60">
        <v>0</v>
      </c>
      <c r="H302" s="60"/>
    </row>
    <row r="305" spans="1:8" x14ac:dyDescent="0.25">
      <c r="A305" s="66" t="str">
        <f>+A1</f>
        <v>Kraft Heinz Company</v>
      </c>
      <c r="B305" s="66" t="str">
        <f>+B1</f>
        <v>Reclassified</v>
      </c>
      <c r="C305" s="66"/>
      <c r="D305" s="66"/>
      <c r="E305" s="66"/>
      <c r="F305" s="66"/>
      <c r="G305" s="66"/>
      <c r="H305" s="53"/>
    </row>
    <row r="306" spans="1:8" x14ac:dyDescent="0.25">
      <c r="A306" s="66" t="s">
        <v>309</v>
      </c>
      <c r="B306" s="66"/>
      <c r="C306" s="66"/>
      <c r="D306" s="66"/>
      <c r="E306" s="66"/>
      <c r="F306" s="66"/>
      <c r="G306" s="66"/>
      <c r="H306" s="53"/>
    </row>
    <row r="307" spans="1:8" x14ac:dyDescent="0.25">
      <c r="A307" s="66" t="str">
        <f>+A3</f>
        <v>in millions except per share data</v>
      </c>
      <c r="B307" s="66"/>
      <c r="C307" s="66"/>
      <c r="D307" s="66"/>
      <c r="E307" s="66"/>
      <c r="F307" s="66" t="s">
        <v>262</v>
      </c>
      <c r="G307" s="72" t="s">
        <v>66</v>
      </c>
      <c r="H307" s="65"/>
    </row>
    <row r="308" spans="1:8" ht="15.75" thickBot="1" x14ac:dyDescent="0.3">
      <c r="A308" s="67" t="str">
        <f>+A4</f>
        <v>Fiscal year ended 12/31:</v>
      </c>
      <c r="B308" s="69">
        <v>2022</v>
      </c>
      <c r="C308" s="69">
        <v>2021</v>
      </c>
      <c r="D308" s="69">
        <v>2020</v>
      </c>
      <c r="E308" s="69">
        <v>2019</v>
      </c>
      <c r="F308" s="69">
        <v>2018</v>
      </c>
      <c r="G308" s="69">
        <v>2017</v>
      </c>
      <c r="H308" s="77"/>
    </row>
    <row r="309" spans="1:8" x14ac:dyDescent="0.25">
      <c r="A309" s="54" t="s">
        <v>79</v>
      </c>
      <c r="B309" s="60">
        <v>0</v>
      </c>
      <c r="C309" s="60">
        <v>0</v>
      </c>
      <c r="D309" s="60">
        <v>0</v>
      </c>
      <c r="E309" s="60">
        <v>0</v>
      </c>
      <c r="F309" s="60">
        <v>152</v>
      </c>
      <c r="G309" s="60">
        <v>538</v>
      </c>
      <c r="H309" s="60"/>
    </row>
    <row r="310" spans="1:8" x14ac:dyDescent="0.25">
      <c r="A310" s="54" t="s">
        <v>80</v>
      </c>
      <c r="B310" s="19">
        <v>240</v>
      </c>
      <c r="C310" s="19">
        <v>136</v>
      </c>
      <c r="D310" s="19">
        <v>351</v>
      </c>
      <c r="E310" s="19">
        <v>384</v>
      </c>
      <c r="F310" s="19">
        <v>400</v>
      </c>
      <c r="G310" s="19">
        <v>345</v>
      </c>
    </row>
    <row r="311" spans="1:8" x14ac:dyDescent="0.25">
      <c r="A311" s="54" t="s">
        <v>20</v>
      </c>
      <c r="B311" s="19">
        <v>842</v>
      </c>
      <c r="C311" s="19">
        <v>716</v>
      </c>
      <c r="D311" s="19">
        <v>574</v>
      </c>
      <c r="E311" s="19">
        <v>618</v>
      </c>
      <c r="F311" s="19">
        <v>1221</v>
      </c>
      <c r="G311" s="19">
        <v>655</v>
      </c>
    </row>
    <row r="312" spans="1:8" x14ac:dyDescent="0.25">
      <c r="A312" s="54" t="s">
        <v>81</v>
      </c>
      <c r="B312" s="19">
        <v>4</v>
      </c>
      <c r="C312" s="19">
        <v>11</v>
      </c>
      <c r="D312" s="19">
        <v>1863</v>
      </c>
      <c r="E312" s="19">
        <v>122</v>
      </c>
      <c r="F312" s="19">
        <v>1376</v>
      </c>
      <c r="G312" s="19">
        <v>353</v>
      </c>
    </row>
    <row r="313" spans="1:8" ht="15.75" thickBot="1" x14ac:dyDescent="0.3">
      <c r="A313" s="19" t="s">
        <v>20</v>
      </c>
      <c r="B313" s="74">
        <f>SUM(B309:B312)</f>
        <v>1086</v>
      </c>
      <c r="C313" s="74">
        <f t="shared" ref="C313:G313" si="136">SUM(C309:C312)</f>
        <v>863</v>
      </c>
      <c r="D313" s="74">
        <f t="shared" si="136"/>
        <v>2788</v>
      </c>
      <c r="E313" s="74">
        <f t="shared" si="136"/>
        <v>1124</v>
      </c>
      <c r="F313" s="74">
        <f t="shared" si="136"/>
        <v>3149</v>
      </c>
      <c r="G313" s="74">
        <f t="shared" si="136"/>
        <v>1891</v>
      </c>
      <c r="H313" s="85"/>
    </row>
    <row r="314" spans="1:8" ht="15.75" thickTop="1" x14ac:dyDescent="0.25"/>
    <row r="315" spans="1:8" x14ac:dyDescent="0.25">
      <c r="A315" s="54" t="s">
        <v>23</v>
      </c>
      <c r="B315" s="60">
        <v>30833</v>
      </c>
      <c r="C315" s="60">
        <v>31296</v>
      </c>
      <c r="D315" s="60">
        <v>33089</v>
      </c>
      <c r="E315" s="60">
        <v>35546</v>
      </c>
      <c r="F315" s="60">
        <v>36503</v>
      </c>
      <c r="G315" s="60">
        <v>44825</v>
      </c>
      <c r="H315" s="60"/>
    </row>
    <row r="316" spans="1:8" x14ac:dyDescent="0.25">
      <c r="A316" s="54" t="s">
        <v>83</v>
      </c>
      <c r="B316" s="19">
        <v>42649</v>
      </c>
      <c r="C316" s="19">
        <v>43542</v>
      </c>
      <c r="D316" s="19">
        <v>46667</v>
      </c>
      <c r="E316" s="19">
        <v>48652</v>
      </c>
      <c r="F316" s="19">
        <v>49468</v>
      </c>
      <c r="G316" s="19">
        <v>59432</v>
      </c>
    </row>
    <row r="317" spans="1:8" ht="15.75" thickBot="1" x14ac:dyDescent="0.3">
      <c r="A317" s="19" t="s">
        <v>310</v>
      </c>
      <c r="B317" s="74">
        <f>SUM(B315:B316)</f>
        <v>73482</v>
      </c>
      <c r="C317" s="74">
        <f t="shared" ref="C317:G317" si="137">SUM(C315:C316)</f>
        <v>74838</v>
      </c>
      <c r="D317" s="74">
        <f t="shared" si="137"/>
        <v>79756</v>
      </c>
      <c r="E317" s="74">
        <f t="shared" si="137"/>
        <v>84198</v>
      </c>
      <c r="F317" s="74">
        <f t="shared" si="137"/>
        <v>85971</v>
      </c>
      <c r="G317" s="74">
        <f t="shared" si="137"/>
        <v>104257</v>
      </c>
      <c r="H317" s="85"/>
    </row>
    <row r="318" spans="1:8" ht="15.75" thickTop="1" x14ac:dyDescent="0.25"/>
    <row r="319" spans="1:8" x14ac:dyDescent="0.25">
      <c r="A319" s="54" t="s">
        <v>311</v>
      </c>
      <c r="B319" s="19">
        <v>2394</v>
      </c>
      <c r="C319" s="19">
        <v>2756</v>
      </c>
      <c r="D319" s="19">
        <v>2376</v>
      </c>
      <c r="E319" s="19">
        <v>2100</v>
      </c>
      <c r="F319" s="19">
        <v>1337</v>
      </c>
      <c r="G319" s="19">
        <v>1573</v>
      </c>
    </row>
    <row r="320" spans="1:8" x14ac:dyDescent="0.25">
      <c r="A320" s="54" t="s">
        <v>312</v>
      </c>
      <c r="B320" s="19">
        <f>-B300</f>
        <v>-668</v>
      </c>
      <c r="C320" s="19">
        <f t="shared" ref="C320:G320" si="138">-C300</f>
        <v>-569</v>
      </c>
      <c r="D320" s="19">
        <f t="shared" si="138"/>
        <v>-562</v>
      </c>
      <c r="E320" s="19">
        <f t="shared" si="138"/>
        <v>-542</v>
      </c>
      <c r="F320" s="19">
        <f t="shared" si="138"/>
        <v>0</v>
      </c>
      <c r="G320" s="19">
        <f t="shared" si="138"/>
        <v>0</v>
      </c>
    </row>
    <row r="321" spans="1:8" ht="15.75" thickBot="1" x14ac:dyDescent="0.3">
      <c r="A321" s="19" t="s">
        <v>313</v>
      </c>
      <c r="B321" s="74">
        <f>SUM(B319:B320)</f>
        <v>1726</v>
      </c>
      <c r="C321" s="74">
        <f t="shared" ref="C321:G321" si="139">SUM(C319:C320)</f>
        <v>2187</v>
      </c>
      <c r="D321" s="74">
        <f t="shared" si="139"/>
        <v>1814</v>
      </c>
      <c r="E321" s="74">
        <f t="shared" si="139"/>
        <v>1558</v>
      </c>
      <c r="F321" s="74">
        <f t="shared" si="139"/>
        <v>1337</v>
      </c>
      <c r="G321" s="74">
        <f t="shared" si="139"/>
        <v>1573</v>
      </c>
    </row>
    <row r="322" spans="1:8" ht="15.75" thickTop="1" x14ac:dyDescent="0.25"/>
    <row r="323" spans="1:8" x14ac:dyDescent="0.25">
      <c r="A323" s="54" t="s">
        <v>86</v>
      </c>
      <c r="B323" s="60">
        <v>6</v>
      </c>
      <c r="C323" s="60">
        <v>14</v>
      </c>
      <c r="D323" s="60">
        <v>6</v>
      </c>
      <c r="E323" s="60">
        <v>6</v>
      </c>
      <c r="F323" s="60">
        <v>21</v>
      </c>
      <c r="G323" s="60">
        <v>462</v>
      </c>
      <c r="H323" s="60"/>
    </row>
    <row r="324" spans="1:8" x14ac:dyDescent="0.25">
      <c r="A324" s="54" t="s">
        <v>87</v>
      </c>
      <c r="B324" s="19">
        <v>831</v>
      </c>
      <c r="C324" s="19">
        <v>740</v>
      </c>
      <c r="D324" s="19">
        <v>230</v>
      </c>
      <c r="E324" s="19">
        <v>1022</v>
      </c>
      <c r="F324" s="19">
        <v>377</v>
      </c>
      <c r="G324" s="19">
        <v>2733</v>
      </c>
    </row>
    <row r="325" spans="1:8" ht="15.75" thickBot="1" x14ac:dyDescent="0.3">
      <c r="A325" s="62" t="s">
        <v>314</v>
      </c>
      <c r="B325" s="74">
        <f>SUM(B323:B324)</f>
        <v>837</v>
      </c>
      <c r="C325" s="74">
        <f t="shared" ref="C325:G325" si="140">SUM(C323:C324)</f>
        <v>754</v>
      </c>
      <c r="D325" s="74">
        <f t="shared" si="140"/>
        <v>236</v>
      </c>
      <c r="E325" s="74">
        <f t="shared" si="140"/>
        <v>1028</v>
      </c>
      <c r="F325" s="74">
        <f t="shared" si="140"/>
        <v>398</v>
      </c>
      <c r="G325" s="74">
        <f t="shared" si="140"/>
        <v>3195</v>
      </c>
      <c r="H325" s="85"/>
    </row>
    <row r="326" spans="1:8" ht="15.75" thickTop="1" x14ac:dyDescent="0.25">
      <c r="A326" s="54"/>
    </row>
    <row r="327" spans="1:8" x14ac:dyDescent="0.25">
      <c r="A327" s="54" t="s">
        <v>89</v>
      </c>
      <c r="B327" s="60">
        <v>749</v>
      </c>
      <c r="C327" s="60">
        <v>804</v>
      </c>
      <c r="D327" s="60">
        <v>946</v>
      </c>
      <c r="E327" s="60">
        <v>647</v>
      </c>
      <c r="F327" s="60">
        <v>722</v>
      </c>
      <c r="G327" s="60">
        <v>689</v>
      </c>
      <c r="H327" s="60"/>
    </row>
    <row r="328" spans="1:8" x14ac:dyDescent="0.25">
      <c r="A328" s="54" t="s">
        <v>90</v>
      </c>
      <c r="B328" s="19">
        <v>264</v>
      </c>
      <c r="C328" s="19">
        <v>268</v>
      </c>
      <c r="D328" s="19">
        <v>358</v>
      </c>
      <c r="E328" s="19">
        <v>384</v>
      </c>
      <c r="F328" s="19">
        <v>408</v>
      </c>
      <c r="G328" s="19">
        <v>419</v>
      </c>
    </row>
    <row r="329" spans="1:8" x14ac:dyDescent="0.25">
      <c r="A329" s="54" t="s">
        <v>91</v>
      </c>
      <c r="B329" s="19">
        <v>136</v>
      </c>
      <c r="C329" s="19">
        <v>541</v>
      </c>
      <c r="D329" s="19">
        <v>0</v>
      </c>
      <c r="E329" s="19">
        <v>0</v>
      </c>
      <c r="F329" s="19">
        <v>0</v>
      </c>
      <c r="G329" s="19">
        <v>0</v>
      </c>
    </row>
    <row r="330" spans="1:8" x14ac:dyDescent="0.25">
      <c r="A330" s="54" t="s">
        <v>92</v>
      </c>
      <c r="B330" s="19">
        <v>0</v>
      </c>
      <c r="C330" s="19">
        <v>0</v>
      </c>
      <c r="D330" s="19">
        <v>17</v>
      </c>
      <c r="E330" s="19">
        <v>9</v>
      </c>
      <c r="F330" s="19">
        <v>55</v>
      </c>
      <c r="G330" s="19">
        <v>0</v>
      </c>
    </row>
    <row r="331" spans="1:8" x14ac:dyDescent="0.25">
      <c r="A331" s="54" t="s">
        <v>29</v>
      </c>
      <c r="B331" s="80">
        <v>2194</v>
      </c>
      <c r="C331" s="80">
        <v>1944</v>
      </c>
      <c r="D331" s="80">
        <v>2200</v>
      </c>
      <c r="E331" s="80">
        <v>1804</v>
      </c>
      <c r="F331" s="80">
        <v>1767</v>
      </c>
      <c r="G331" s="80">
        <v>1489</v>
      </c>
      <c r="H331" s="80"/>
    </row>
    <row r="332" spans="1:8" x14ac:dyDescent="0.25">
      <c r="A332" s="54" t="s">
        <v>315</v>
      </c>
      <c r="B332" s="80">
        <f>-B301</f>
        <v>-125</v>
      </c>
      <c r="C332" s="80">
        <f t="shared" ref="C332:G332" si="141">-C301</f>
        <v>-133</v>
      </c>
      <c r="D332" s="80">
        <f t="shared" si="141"/>
        <v>-135</v>
      </c>
      <c r="E332" s="80">
        <f t="shared" si="141"/>
        <v>-147</v>
      </c>
      <c r="F332" s="80">
        <f t="shared" si="141"/>
        <v>0</v>
      </c>
      <c r="G332" s="80">
        <f t="shared" si="141"/>
        <v>0</v>
      </c>
      <c r="H332" s="80"/>
    </row>
    <row r="333" spans="1:8" ht="15.75" thickBot="1" x14ac:dyDescent="0.3">
      <c r="A333" s="19" t="s">
        <v>29</v>
      </c>
      <c r="B333" s="74">
        <f>SUM(B327:B332)</f>
        <v>3218</v>
      </c>
      <c r="C333" s="74">
        <f t="shared" ref="C333:G333" si="142">SUM(C327:C332)</f>
        <v>3424</v>
      </c>
      <c r="D333" s="74">
        <f t="shared" si="142"/>
        <v>3386</v>
      </c>
      <c r="E333" s="74">
        <f t="shared" si="142"/>
        <v>2697</v>
      </c>
      <c r="F333" s="74">
        <f t="shared" si="142"/>
        <v>2952</v>
      </c>
      <c r="G333" s="74">
        <f t="shared" si="142"/>
        <v>2597</v>
      </c>
      <c r="H333" s="85"/>
    </row>
    <row r="334" spans="1:8" ht="15.75" thickTop="1" x14ac:dyDescent="0.25">
      <c r="B334" s="80"/>
      <c r="C334" s="80"/>
      <c r="D334" s="80"/>
      <c r="E334" s="80"/>
      <c r="F334" s="80"/>
      <c r="G334" s="80"/>
      <c r="H334" s="80"/>
    </row>
    <row r="335" spans="1:8" x14ac:dyDescent="0.25">
      <c r="A335" s="54" t="s">
        <v>93</v>
      </c>
      <c r="B335" s="60">
        <v>10152</v>
      </c>
      <c r="C335" s="60">
        <v>10536</v>
      </c>
      <c r="D335" s="60">
        <v>11462</v>
      </c>
      <c r="E335" s="60">
        <v>11878</v>
      </c>
      <c r="F335" s="60">
        <v>12202</v>
      </c>
      <c r="G335" s="60">
        <v>14039</v>
      </c>
      <c r="H335" s="60"/>
    </row>
    <row r="336" spans="1:8" x14ac:dyDescent="0.25">
      <c r="A336" s="54" t="s">
        <v>94</v>
      </c>
      <c r="B336" s="19">
        <v>144</v>
      </c>
      <c r="C336" s="19">
        <v>205</v>
      </c>
      <c r="D336" s="19">
        <v>243</v>
      </c>
      <c r="E336" s="19">
        <v>273</v>
      </c>
      <c r="F336" s="19">
        <v>306</v>
      </c>
      <c r="G336" s="19">
        <v>427</v>
      </c>
    </row>
    <row r="337" spans="1:8" x14ac:dyDescent="0.25">
      <c r="A337" s="54" t="s">
        <v>95</v>
      </c>
      <c r="B337" s="19">
        <v>1477</v>
      </c>
      <c r="C337" s="19">
        <v>1534</v>
      </c>
      <c r="D337" s="19">
        <v>0</v>
      </c>
      <c r="E337" s="19">
        <v>0</v>
      </c>
      <c r="F337" s="19">
        <v>0</v>
      </c>
      <c r="G337" s="19">
        <v>0</v>
      </c>
    </row>
    <row r="338" spans="1:8" x14ac:dyDescent="0.25">
      <c r="A338" s="54" t="s">
        <v>96</v>
      </c>
      <c r="B338" s="19">
        <v>1609</v>
      </c>
      <c r="C338" s="19">
        <v>1542</v>
      </c>
      <c r="D338" s="19">
        <v>1751</v>
      </c>
      <c r="E338" s="19">
        <v>1459</v>
      </c>
      <c r="F338" s="19">
        <v>902</v>
      </c>
      <c r="G338" s="19">
        <v>1088</v>
      </c>
    </row>
    <row r="339" spans="1:8" x14ac:dyDescent="0.25">
      <c r="A339" s="54" t="s">
        <v>316</v>
      </c>
      <c r="B339" s="19">
        <f>-B302</f>
        <v>-585</v>
      </c>
      <c r="C339" s="19">
        <f t="shared" ref="C339:G339" si="143">-C302</f>
        <v>-484</v>
      </c>
      <c r="D339" s="19">
        <f t="shared" si="143"/>
        <v>-475</v>
      </c>
      <c r="E339" s="19">
        <f t="shared" si="143"/>
        <v>-454</v>
      </c>
      <c r="F339" s="19">
        <f t="shared" si="143"/>
        <v>0</v>
      </c>
      <c r="G339" s="19">
        <f t="shared" si="143"/>
        <v>0</v>
      </c>
    </row>
    <row r="340" spans="1:8" ht="15.75" thickBot="1" x14ac:dyDescent="0.3">
      <c r="A340" s="19" t="s">
        <v>317</v>
      </c>
      <c r="B340" s="74">
        <f>SUM(B335:B339)</f>
        <v>12797</v>
      </c>
      <c r="C340" s="74">
        <f t="shared" ref="C340:G340" si="144">SUM(C335:C339)</f>
        <v>13333</v>
      </c>
      <c r="D340" s="74">
        <f t="shared" si="144"/>
        <v>12981</v>
      </c>
      <c r="E340" s="74">
        <f t="shared" si="144"/>
        <v>13156</v>
      </c>
      <c r="F340" s="74">
        <f t="shared" si="144"/>
        <v>13410</v>
      </c>
      <c r="G340" s="74">
        <f t="shared" si="144"/>
        <v>15554</v>
      </c>
      <c r="H340" s="85"/>
    </row>
    <row r="341" spans="1:8" ht="15.75" thickTop="1" x14ac:dyDescent="0.25"/>
    <row r="342" spans="1:8" x14ac:dyDescent="0.25">
      <c r="A342" s="54" t="s">
        <v>100</v>
      </c>
      <c r="B342" s="60">
        <v>12</v>
      </c>
      <c r="C342" s="60">
        <v>12</v>
      </c>
      <c r="D342" s="60">
        <v>12</v>
      </c>
      <c r="E342" s="60">
        <v>12</v>
      </c>
      <c r="F342" s="60">
        <v>12</v>
      </c>
      <c r="G342" s="60">
        <v>12</v>
      </c>
      <c r="H342" s="60"/>
    </row>
    <row r="343" spans="1:8" x14ac:dyDescent="0.25">
      <c r="A343" s="54" t="s">
        <v>101</v>
      </c>
      <c r="B343" s="19">
        <v>51834</v>
      </c>
      <c r="C343" s="19">
        <v>53379</v>
      </c>
      <c r="D343" s="19">
        <v>55096</v>
      </c>
      <c r="E343" s="19">
        <v>56828</v>
      </c>
      <c r="F343" s="19">
        <v>58723</v>
      </c>
      <c r="G343" s="19">
        <v>58634</v>
      </c>
    </row>
    <row r="344" spans="1:8" x14ac:dyDescent="0.25">
      <c r="A344" s="54" t="s">
        <v>102</v>
      </c>
      <c r="B344" s="19">
        <v>489</v>
      </c>
      <c r="C344" s="19">
        <v>-1682</v>
      </c>
      <c r="D344" s="19">
        <v>-2694</v>
      </c>
      <c r="E344" s="19">
        <v>-3060</v>
      </c>
      <c r="F344" s="19">
        <v>-4853</v>
      </c>
      <c r="G344" s="19">
        <v>8495</v>
      </c>
    </row>
    <row r="345" spans="1:8" x14ac:dyDescent="0.25">
      <c r="A345" s="54" t="s">
        <v>103</v>
      </c>
      <c r="B345" s="19">
        <v>-2810</v>
      </c>
      <c r="C345" s="19">
        <v>-1824</v>
      </c>
      <c r="D345" s="19">
        <v>-1967</v>
      </c>
      <c r="E345" s="19">
        <v>-1886</v>
      </c>
      <c r="F345" s="19">
        <v>-1943</v>
      </c>
      <c r="G345" s="19">
        <v>-1054</v>
      </c>
    </row>
    <row r="346" spans="1:8" x14ac:dyDescent="0.25">
      <c r="A346" s="54" t="s">
        <v>104</v>
      </c>
      <c r="B346" s="19">
        <v>-847</v>
      </c>
      <c r="C346" s="19">
        <v>-587</v>
      </c>
      <c r="D346" s="19">
        <v>-344</v>
      </c>
      <c r="E346" s="19">
        <v>-271</v>
      </c>
      <c r="F346" s="19">
        <v>-282</v>
      </c>
      <c r="G346" s="19">
        <v>-224</v>
      </c>
    </row>
    <row r="347" spans="1:8" x14ac:dyDescent="0.25">
      <c r="A347" s="54" t="s">
        <v>105</v>
      </c>
      <c r="B347" s="19">
        <v>152</v>
      </c>
      <c r="C347" s="19">
        <v>150</v>
      </c>
      <c r="D347" s="19">
        <v>140</v>
      </c>
      <c r="E347" s="19">
        <v>126</v>
      </c>
      <c r="F347" s="19">
        <v>118</v>
      </c>
      <c r="G347" s="19">
        <v>207</v>
      </c>
    </row>
    <row r="348" spans="1:8" ht="15.75" thickBot="1" x14ac:dyDescent="0.3">
      <c r="A348" s="19" t="s">
        <v>106</v>
      </c>
      <c r="B348" s="74">
        <f>SUM(B342:B347)</f>
        <v>48830</v>
      </c>
      <c r="C348" s="74">
        <f t="shared" ref="C348:G348" si="145">SUM(C342:C347)</f>
        <v>49448</v>
      </c>
      <c r="D348" s="74">
        <f t="shared" si="145"/>
        <v>50243</v>
      </c>
      <c r="E348" s="74">
        <f t="shared" si="145"/>
        <v>51749</v>
      </c>
      <c r="F348" s="74">
        <f t="shared" si="145"/>
        <v>51775</v>
      </c>
      <c r="G348" s="74">
        <f t="shared" si="145"/>
        <v>66070</v>
      </c>
      <c r="H348" s="85"/>
    </row>
    <row r="349" spans="1:8" ht="15.75" thickTop="1" x14ac:dyDescent="0.25"/>
    <row r="350" spans="1:8" x14ac:dyDescent="0.25">
      <c r="A350" s="54" t="s">
        <v>318</v>
      </c>
      <c r="B350" s="60">
        <v>3575</v>
      </c>
      <c r="C350" s="60">
        <v>3588</v>
      </c>
      <c r="D350" s="60">
        <v>3650</v>
      </c>
      <c r="E350" s="60">
        <v>3178</v>
      </c>
      <c r="F350" s="60">
        <v>3190</v>
      </c>
      <c r="G350" s="60">
        <v>2927</v>
      </c>
    </row>
    <row r="351" spans="1:8" x14ac:dyDescent="0.25">
      <c r="A351" s="54" t="s">
        <v>319</v>
      </c>
      <c r="B351" s="19">
        <f>-B289</f>
        <v>-127</v>
      </c>
      <c r="C351" s="19">
        <f t="shared" ref="C351:G351" si="146">-C289</f>
        <v>-140</v>
      </c>
      <c r="D351" s="19">
        <f t="shared" si="146"/>
        <v>-119</v>
      </c>
      <c r="E351" s="19">
        <f t="shared" si="146"/>
        <v>-112</v>
      </c>
      <c r="F351" s="19">
        <f t="shared" si="146"/>
        <v>-109</v>
      </c>
      <c r="G351" s="19">
        <f t="shared" si="146"/>
        <v>-93</v>
      </c>
    </row>
    <row r="352" spans="1:8" x14ac:dyDescent="0.25">
      <c r="A352" s="54" t="s">
        <v>320</v>
      </c>
      <c r="B352" s="19">
        <f>-B288</f>
        <v>-945</v>
      </c>
      <c r="C352" s="19">
        <f t="shared" ref="C352:G352" si="147">-C288</f>
        <v>-1039</v>
      </c>
      <c r="D352" s="19">
        <f t="shared" si="147"/>
        <v>-1070</v>
      </c>
      <c r="E352" s="19">
        <f t="shared" si="147"/>
        <v>-1100</v>
      </c>
      <c r="F352" s="19">
        <f t="shared" si="147"/>
        <v>-1140</v>
      </c>
      <c r="G352" s="19">
        <f t="shared" si="147"/>
        <v>-1115</v>
      </c>
    </row>
    <row r="353" spans="1:7" ht="15.75" thickBot="1" x14ac:dyDescent="0.3">
      <c r="A353" s="19" t="s">
        <v>519</v>
      </c>
      <c r="B353" s="74">
        <f>SUM(B350:B352)</f>
        <v>2503</v>
      </c>
      <c r="C353" s="74">
        <f t="shared" ref="C353:G353" si="148">SUM(C350:C352)</f>
        <v>2409</v>
      </c>
      <c r="D353" s="74">
        <f t="shared" si="148"/>
        <v>2461</v>
      </c>
      <c r="E353" s="74">
        <f t="shared" si="148"/>
        <v>1966</v>
      </c>
      <c r="F353" s="74">
        <f t="shared" si="148"/>
        <v>1941</v>
      </c>
      <c r="G353" s="74">
        <f t="shared" si="148"/>
        <v>1719</v>
      </c>
    </row>
    <row r="354" spans="1:7" ht="15.75" thickTop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C90B-6157-4D93-8A14-7667BD4D63BE}">
  <dimension ref="A1:H433"/>
  <sheetViews>
    <sheetView zoomScale="87" zoomScaleNormal="100" workbookViewId="0">
      <selection activeCell="K41" sqref="K41"/>
    </sheetView>
  </sheetViews>
  <sheetFormatPr defaultColWidth="9.140625" defaultRowHeight="15" x14ac:dyDescent="0.25"/>
  <cols>
    <col min="1" max="1" width="44.7109375" style="19" customWidth="1"/>
    <col min="2" max="8" width="10.7109375" style="19" customWidth="1"/>
    <col min="9" max="16384" width="9.140625" style="19"/>
  </cols>
  <sheetData>
    <row r="1" spans="1:8" s="53" customFormat="1" x14ac:dyDescent="0.25">
      <c r="A1" s="66" t="s">
        <v>0</v>
      </c>
      <c r="B1" s="66" t="s">
        <v>261</v>
      </c>
      <c r="C1" s="66"/>
      <c r="D1" s="66"/>
      <c r="E1" s="66"/>
      <c r="F1" s="66"/>
      <c r="G1" s="66"/>
    </row>
    <row r="2" spans="1:8" s="53" customFormat="1" x14ac:dyDescent="0.25">
      <c r="A2" s="66" t="s">
        <v>61</v>
      </c>
      <c r="B2" s="66"/>
      <c r="C2" s="66"/>
      <c r="D2" s="66"/>
      <c r="E2" s="66"/>
      <c r="F2" s="66"/>
      <c r="G2" s="66"/>
    </row>
    <row r="3" spans="1:8" s="53" customFormat="1" x14ac:dyDescent="0.25">
      <c r="A3" s="66" t="s">
        <v>64</v>
      </c>
      <c r="B3" s="66"/>
      <c r="C3" s="66"/>
      <c r="D3" s="66"/>
      <c r="E3" s="66"/>
      <c r="F3" s="66" t="s">
        <v>262</v>
      </c>
      <c r="G3" s="72" t="s">
        <v>66</v>
      </c>
      <c r="H3" s="65"/>
    </row>
    <row r="4" spans="1:8" s="53" customFormat="1" ht="15.75" thickBot="1" x14ac:dyDescent="0.3">
      <c r="A4" s="67" t="s">
        <v>74</v>
      </c>
      <c r="B4" s="69">
        <v>2022</v>
      </c>
      <c r="C4" s="69">
        <v>2021</v>
      </c>
      <c r="D4" s="69">
        <v>2020</v>
      </c>
      <c r="E4" s="69">
        <v>2019</v>
      </c>
      <c r="F4" s="69">
        <v>2018</v>
      </c>
      <c r="G4" s="69">
        <v>2017</v>
      </c>
      <c r="H4" s="77"/>
    </row>
    <row r="5" spans="1:8" x14ac:dyDescent="0.25">
      <c r="A5" s="19" t="s">
        <v>77</v>
      </c>
    </row>
    <row r="6" spans="1:8" x14ac:dyDescent="0.25">
      <c r="A6" s="54" t="s">
        <v>78</v>
      </c>
      <c r="B6" s="60">
        <v>1040</v>
      </c>
      <c r="C6" s="60">
        <v>3445</v>
      </c>
      <c r="D6" s="60">
        <v>3417</v>
      </c>
      <c r="E6" s="60">
        <v>2279</v>
      </c>
      <c r="F6" s="60">
        <v>1130</v>
      </c>
      <c r="G6" s="60">
        <v>1629</v>
      </c>
      <c r="H6" s="60"/>
    </row>
    <row r="7" spans="1:8" x14ac:dyDescent="0.25">
      <c r="A7" s="54" t="s">
        <v>263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</row>
    <row r="8" spans="1:8" x14ac:dyDescent="0.25">
      <c r="A8" s="54" t="s">
        <v>18</v>
      </c>
      <c r="B8" s="19">
        <v>2120</v>
      </c>
      <c r="C8" s="19">
        <v>1957</v>
      </c>
      <c r="D8" s="19">
        <v>2063</v>
      </c>
      <c r="E8" s="19">
        <v>1973</v>
      </c>
      <c r="F8" s="19">
        <v>2129</v>
      </c>
      <c r="G8" s="19">
        <v>921</v>
      </c>
    </row>
    <row r="9" spans="1:8" x14ac:dyDescent="0.25">
      <c r="A9" s="54" t="s">
        <v>19</v>
      </c>
      <c r="B9" s="19">
        <v>3651</v>
      </c>
      <c r="C9" s="19">
        <v>2729</v>
      </c>
      <c r="D9" s="19">
        <v>2554</v>
      </c>
      <c r="E9" s="19">
        <v>2721</v>
      </c>
      <c r="F9" s="19">
        <v>2667</v>
      </c>
      <c r="G9" s="19">
        <v>2760</v>
      </c>
    </row>
    <row r="10" spans="1:8" x14ac:dyDescent="0.25">
      <c r="A10" s="54" t="s">
        <v>20</v>
      </c>
      <c r="B10" s="19">
        <f t="shared" ref="B10:G10" si="0">+B392</f>
        <v>1086</v>
      </c>
      <c r="C10" s="19">
        <f t="shared" si="0"/>
        <v>863</v>
      </c>
      <c r="D10" s="19">
        <f t="shared" si="0"/>
        <v>2788</v>
      </c>
      <c r="E10" s="19">
        <f t="shared" si="0"/>
        <v>1124</v>
      </c>
      <c r="F10" s="19">
        <f t="shared" si="0"/>
        <v>3149</v>
      </c>
      <c r="G10" s="19">
        <f t="shared" si="0"/>
        <v>1891</v>
      </c>
    </row>
    <row r="11" spans="1:8" x14ac:dyDescent="0.25">
      <c r="A11" s="19" t="s">
        <v>21</v>
      </c>
      <c r="B11" s="57">
        <f t="shared" ref="B11:G11" si="1">SUM(B6:B10)</f>
        <v>7897</v>
      </c>
      <c r="C11" s="57">
        <f t="shared" si="1"/>
        <v>8994</v>
      </c>
      <c r="D11" s="57">
        <f t="shared" si="1"/>
        <v>10822</v>
      </c>
      <c r="E11" s="57">
        <f t="shared" si="1"/>
        <v>8097</v>
      </c>
      <c r="F11" s="57">
        <f t="shared" si="1"/>
        <v>9075</v>
      </c>
      <c r="G11" s="57">
        <f t="shared" si="1"/>
        <v>7201</v>
      </c>
      <c r="H11" s="80"/>
    </row>
    <row r="12" spans="1:8" x14ac:dyDescent="0.25">
      <c r="A12" s="56" t="s">
        <v>187</v>
      </c>
      <c r="B12" s="80">
        <f t="shared" ref="B12:G16" si="2">+B370</f>
        <v>200</v>
      </c>
      <c r="C12" s="80">
        <f t="shared" si="2"/>
        <v>207</v>
      </c>
      <c r="D12" s="80">
        <f t="shared" si="2"/>
        <v>219</v>
      </c>
      <c r="E12" s="80">
        <f t="shared" si="2"/>
        <v>210</v>
      </c>
      <c r="F12" s="80">
        <f t="shared" si="2"/>
        <v>218</v>
      </c>
      <c r="G12" s="80">
        <f t="shared" si="2"/>
        <v>250</v>
      </c>
      <c r="H12" s="80"/>
    </row>
    <row r="13" spans="1:8" x14ac:dyDescent="0.25">
      <c r="A13" s="56" t="s">
        <v>188</v>
      </c>
      <c r="B13" s="80">
        <f t="shared" si="2"/>
        <v>1161</v>
      </c>
      <c r="C13" s="80">
        <f t="shared" si="2"/>
        <v>1002</v>
      </c>
      <c r="D13" s="80">
        <f t="shared" si="2"/>
        <v>792</v>
      </c>
      <c r="E13" s="80">
        <f t="shared" si="2"/>
        <v>1033</v>
      </c>
      <c r="F13" s="80">
        <f t="shared" si="2"/>
        <v>1165</v>
      </c>
      <c r="G13" s="80">
        <f t="shared" si="2"/>
        <v>1345</v>
      </c>
      <c r="H13" s="80"/>
    </row>
    <row r="14" spans="1:8" x14ac:dyDescent="0.25">
      <c r="A14" s="56" t="s">
        <v>189</v>
      </c>
      <c r="B14" s="63">
        <f t="shared" si="2"/>
        <v>51681</v>
      </c>
      <c r="C14" s="63">
        <f t="shared" si="2"/>
        <v>52107</v>
      </c>
      <c r="D14" s="63">
        <f t="shared" si="2"/>
        <v>52795</v>
      </c>
      <c r="E14" s="63">
        <f t="shared" si="2"/>
        <v>53693</v>
      </c>
      <c r="F14" s="63">
        <f t="shared" si="2"/>
        <v>52976</v>
      </c>
      <c r="G14" s="63">
        <f t="shared" si="2"/>
        <v>66564</v>
      </c>
      <c r="H14" s="80"/>
    </row>
    <row r="15" spans="1:8" x14ac:dyDescent="0.25">
      <c r="A15" s="56" t="s">
        <v>264</v>
      </c>
      <c r="B15" s="80">
        <f t="shared" si="2"/>
        <v>53042</v>
      </c>
      <c r="C15" s="80">
        <f t="shared" si="2"/>
        <v>53316</v>
      </c>
      <c r="D15" s="80">
        <f t="shared" si="2"/>
        <v>53806</v>
      </c>
      <c r="E15" s="80">
        <f t="shared" si="2"/>
        <v>54936</v>
      </c>
      <c r="F15" s="80">
        <f t="shared" si="2"/>
        <v>54359</v>
      </c>
      <c r="G15" s="80">
        <f t="shared" si="2"/>
        <v>68159</v>
      </c>
      <c r="H15" s="80"/>
    </row>
    <row r="16" spans="1:8" x14ac:dyDescent="0.25">
      <c r="A16" s="56" t="s">
        <v>191</v>
      </c>
      <c r="B16" s="63">
        <f t="shared" si="2"/>
        <v>-4212</v>
      </c>
      <c r="C16" s="63">
        <f t="shared" si="2"/>
        <v>-3868</v>
      </c>
      <c r="D16" s="63">
        <f t="shared" si="2"/>
        <v>-3563</v>
      </c>
      <c r="E16" s="63">
        <f t="shared" si="2"/>
        <v>-3187</v>
      </c>
      <c r="F16" s="63">
        <f t="shared" si="2"/>
        <v>-2584</v>
      </c>
      <c r="G16" s="63">
        <f t="shared" si="2"/>
        <v>-2089</v>
      </c>
      <c r="H16" s="80"/>
    </row>
    <row r="17" spans="1:8" x14ac:dyDescent="0.25">
      <c r="A17" s="54" t="s">
        <v>82</v>
      </c>
      <c r="B17" s="19">
        <v>6740</v>
      </c>
      <c r="C17" s="19">
        <v>6806</v>
      </c>
      <c r="D17" s="19">
        <v>6876</v>
      </c>
      <c r="E17" s="19">
        <v>7055</v>
      </c>
      <c r="F17" s="19">
        <v>7078</v>
      </c>
      <c r="G17" s="19">
        <v>7061</v>
      </c>
    </row>
    <row r="18" spans="1:8" x14ac:dyDescent="0.25">
      <c r="A18" s="54" t="s">
        <v>265</v>
      </c>
      <c r="B18" s="19">
        <f t="shared" ref="B18:G18" si="3">+B379</f>
        <v>668</v>
      </c>
      <c r="C18" s="19">
        <f t="shared" si="3"/>
        <v>569</v>
      </c>
      <c r="D18" s="19">
        <f t="shared" si="3"/>
        <v>562</v>
      </c>
      <c r="E18" s="19">
        <f t="shared" si="3"/>
        <v>542</v>
      </c>
      <c r="F18" s="19">
        <f t="shared" si="3"/>
        <v>0</v>
      </c>
      <c r="G18" s="19">
        <f t="shared" si="3"/>
        <v>0</v>
      </c>
    </row>
    <row r="19" spans="1:8" x14ac:dyDescent="0.25">
      <c r="A19" s="54" t="s">
        <v>266</v>
      </c>
      <c r="B19" s="19">
        <f t="shared" ref="B19:G19" si="4">+B396</f>
        <v>73482</v>
      </c>
      <c r="C19" s="19">
        <f t="shared" si="4"/>
        <v>74838</v>
      </c>
      <c r="D19" s="19">
        <f t="shared" si="4"/>
        <v>79756</v>
      </c>
      <c r="E19" s="19">
        <f t="shared" si="4"/>
        <v>84198</v>
      </c>
      <c r="F19" s="19">
        <f t="shared" si="4"/>
        <v>85971</v>
      </c>
      <c r="G19" s="19">
        <f t="shared" si="4"/>
        <v>104257</v>
      </c>
    </row>
    <row r="20" spans="1:8" x14ac:dyDescent="0.25">
      <c r="A20" s="54" t="s">
        <v>25</v>
      </c>
      <c r="B20" s="19">
        <f t="shared" ref="B20:G20" si="5">+B400</f>
        <v>1726</v>
      </c>
      <c r="C20" s="19">
        <f t="shared" si="5"/>
        <v>2187</v>
      </c>
      <c r="D20" s="19">
        <f t="shared" si="5"/>
        <v>1814</v>
      </c>
      <c r="E20" s="19">
        <f t="shared" si="5"/>
        <v>1558</v>
      </c>
      <c r="F20" s="19">
        <f t="shared" si="5"/>
        <v>1337</v>
      </c>
      <c r="G20" s="19">
        <f t="shared" si="5"/>
        <v>1573</v>
      </c>
    </row>
    <row r="21" spans="1:8" ht="15.75" thickBot="1" x14ac:dyDescent="0.3">
      <c r="A21" s="19" t="s">
        <v>84</v>
      </c>
      <c r="B21" s="74">
        <f t="shared" ref="B21:G21" si="6">+B11+SUM(B17:B20)</f>
        <v>90513</v>
      </c>
      <c r="C21" s="74">
        <f t="shared" si="6"/>
        <v>93394</v>
      </c>
      <c r="D21" s="74">
        <f t="shared" si="6"/>
        <v>99830</v>
      </c>
      <c r="E21" s="74">
        <f t="shared" si="6"/>
        <v>101450</v>
      </c>
      <c r="F21" s="74">
        <f t="shared" si="6"/>
        <v>103461</v>
      </c>
      <c r="G21" s="74">
        <f t="shared" si="6"/>
        <v>120092</v>
      </c>
      <c r="H21" s="85"/>
    </row>
    <row r="22" spans="1:8" ht="15.75" thickTop="1" x14ac:dyDescent="0.25">
      <c r="A22" s="19" t="s">
        <v>85</v>
      </c>
    </row>
    <row r="23" spans="1:8" x14ac:dyDescent="0.25">
      <c r="A23" s="54" t="s">
        <v>267</v>
      </c>
      <c r="B23" s="60">
        <f t="shared" ref="B23:G23" si="7">+B404</f>
        <v>837</v>
      </c>
      <c r="C23" s="60">
        <f t="shared" si="7"/>
        <v>754</v>
      </c>
      <c r="D23" s="60">
        <f t="shared" si="7"/>
        <v>236</v>
      </c>
      <c r="E23" s="60">
        <f t="shared" si="7"/>
        <v>1028</v>
      </c>
      <c r="F23" s="60">
        <f t="shared" si="7"/>
        <v>398</v>
      </c>
      <c r="G23" s="60">
        <f t="shared" si="7"/>
        <v>3195</v>
      </c>
      <c r="H23" s="60"/>
    </row>
    <row r="24" spans="1:8" x14ac:dyDescent="0.25">
      <c r="A24" s="54" t="s">
        <v>88</v>
      </c>
      <c r="B24" s="19">
        <v>4848</v>
      </c>
      <c r="C24" s="19">
        <v>4753</v>
      </c>
      <c r="D24" s="19">
        <v>4304</v>
      </c>
      <c r="E24" s="19">
        <v>4003</v>
      </c>
      <c r="F24" s="19">
        <v>4153</v>
      </c>
      <c r="G24" s="19">
        <v>4362</v>
      </c>
    </row>
    <row r="25" spans="1:8" x14ac:dyDescent="0.25">
      <c r="A25" s="54" t="s">
        <v>268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</row>
    <row r="26" spans="1:8" x14ac:dyDescent="0.25">
      <c r="A26" s="54" t="s">
        <v>269</v>
      </c>
      <c r="B26" s="19">
        <f t="shared" ref="B26:G26" si="8">+B380</f>
        <v>125</v>
      </c>
      <c r="C26" s="19">
        <f t="shared" si="8"/>
        <v>133</v>
      </c>
      <c r="D26" s="19">
        <f t="shared" si="8"/>
        <v>135</v>
      </c>
      <c r="E26" s="19">
        <f t="shared" si="8"/>
        <v>147</v>
      </c>
      <c r="F26" s="19">
        <f t="shared" si="8"/>
        <v>0</v>
      </c>
      <c r="G26" s="19">
        <f t="shared" si="8"/>
        <v>0</v>
      </c>
    </row>
    <row r="27" spans="1:8" x14ac:dyDescent="0.25">
      <c r="A27" s="54" t="s">
        <v>270</v>
      </c>
      <c r="B27" s="19">
        <f t="shared" ref="B27:G27" si="9">+B412</f>
        <v>3218</v>
      </c>
      <c r="C27" s="19">
        <f t="shared" si="9"/>
        <v>3424</v>
      </c>
      <c r="D27" s="19">
        <f t="shared" si="9"/>
        <v>3386</v>
      </c>
      <c r="E27" s="19">
        <f t="shared" si="9"/>
        <v>2697</v>
      </c>
      <c r="F27" s="19">
        <f t="shared" si="9"/>
        <v>2952</v>
      </c>
      <c r="G27" s="19">
        <f t="shared" si="9"/>
        <v>2597</v>
      </c>
    </row>
    <row r="28" spans="1:8" x14ac:dyDescent="0.25">
      <c r="A28" s="19" t="s">
        <v>30</v>
      </c>
      <c r="B28" s="57">
        <f t="shared" ref="B28:G28" si="10">SUM(B23:B27)</f>
        <v>9028</v>
      </c>
      <c r="C28" s="57">
        <f t="shared" si="10"/>
        <v>9064</v>
      </c>
      <c r="D28" s="57">
        <f t="shared" si="10"/>
        <v>8061</v>
      </c>
      <c r="E28" s="57">
        <f t="shared" si="10"/>
        <v>7875</v>
      </c>
      <c r="F28" s="57">
        <f t="shared" si="10"/>
        <v>7503</v>
      </c>
      <c r="G28" s="57">
        <f t="shared" si="10"/>
        <v>10154</v>
      </c>
      <c r="H28" s="80"/>
    </row>
    <row r="29" spans="1:8" x14ac:dyDescent="0.25">
      <c r="A29" s="54" t="s">
        <v>31</v>
      </c>
      <c r="B29" s="19">
        <v>19233</v>
      </c>
      <c r="C29" s="19">
        <v>21061</v>
      </c>
      <c r="D29" s="19">
        <v>28070</v>
      </c>
      <c r="E29" s="19">
        <v>28216</v>
      </c>
      <c r="F29" s="19">
        <v>30770</v>
      </c>
      <c r="G29" s="19">
        <v>28308</v>
      </c>
    </row>
    <row r="30" spans="1:8" x14ac:dyDescent="0.25">
      <c r="A30" s="54" t="s">
        <v>271</v>
      </c>
      <c r="B30" s="19">
        <f t="shared" ref="B30:G30" si="11">+B381</f>
        <v>585</v>
      </c>
      <c r="C30" s="19">
        <f t="shared" si="11"/>
        <v>484</v>
      </c>
      <c r="D30" s="19">
        <f t="shared" si="11"/>
        <v>475</v>
      </c>
      <c r="E30" s="19">
        <f t="shared" si="11"/>
        <v>454</v>
      </c>
      <c r="F30" s="19">
        <f t="shared" si="11"/>
        <v>0</v>
      </c>
      <c r="G30" s="19">
        <f t="shared" si="11"/>
        <v>0</v>
      </c>
    </row>
    <row r="31" spans="1:8" x14ac:dyDescent="0.25">
      <c r="A31" s="54" t="s">
        <v>272</v>
      </c>
      <c r="B31" s="19">
        <f t="shared" ref="B31:G31" si="12">+B419</f>
        <v>12797</v>
      </c>
      <c r="C31" s="19">
        <f t="shared" si="12"/>
        <v>13333</v>
      </c>
      <c r="D31" s="19">
        <f t="shared" si="12"/>
        <v>12981</v>
      </c>
      <c r="E31" s="19">
        <f t="shared" si="12"/>
        <v>13156</v>
      </c>
      <c r="F31" s="19">
        <f t="shared" si="12"/>
        <v>13410</v>
      </c>
      <c r="G31" s="19">
        <f t="shared" si="12"/>
        <v>15554</v>
      </c>
    </row>
    <row r="32" spans="1:8" x14ac:dyDescent="0.25">
      <c r="A32" s="19" t="s">
        <v>97</v>
      </c>
      <c r="B32" s="57">
        <f t="shared" ref="B32:G32" si="13">SUM(B28:B31)</f>
        <v>41643</v>
      </c>
      <c r="C32" s="57">
        <f t="shared" si="13"/>
        <v>43942</v>
      </c>
      <c r="D32" s="57">
        <f t="shared" si="13"/>
        <v>49587</v>
      </c>
      <c r="E32" s="57">
        <f t="shared" si="13"/>
        <v>49701</v>
      </c>
      <c r="F32" s="57">
        <f t="shared" si="13"/>
        <v>51683</v>
      </c>
      <c r="G32" s="57">
        <f t="shared" si="13"/>
        <v>54016</v>
      </c>
      <c r="H32" s="80"/>
    </row>
    <row r="33" spans="1:8" x14ac:dyDescent="0.25">
      <c r="A33" s="19" t="s">
        <v>98</v>
      </c>
      <c r="B33" s="19">
        <v>40</v>
      </c>
      <c r="C33" s="19">
        <v>4</v>
      </c>
      <c r="D33" s="19">
        <v>0</v>
      </c>
      <c r="E33" s="19">
        <v>0</v>
      </c>
      <c r="F33" s="19">
        <v>3</v>
      </c>
      <c r="G33" s="19">
        <v>6</v>
      </c>
    </row>
    <row r="34" spans="1:8" x14ac:dyDescent="0.25">
      <c r="A34" s="19" t="s">
        <v>106</v>
      </c>
      <c r="B34" s="80">
        <f t="shared" ref="B34:G34" si="14">+B427</f>
        <v>48830</v>
      </c>
      <c r="C34" s="80">
        <f t="shared" si="14"/>
        <v>49448</v>
      </c>
      <c r="D34" s="80">
        <f t="shared" si="14"/>
        <v>50243</v>
      </c>
      <c r="E34" s="80">
        <f t="shared" si="14"/>
        <v>51749</v>
      </c>
      <c r="F34" s="80">
        <f t="shared" si="14"/>
        <v>51775</v>
      </c>
      <c r="G34" s="80">
        <f t="shared" si="14"/>
        <v>66070</v>
      </c>
      <c r="H34" s="80"/>
    </row>
    <row r="35" spans="1:8" ht="15.75" thickBot="1" x14ac:dyDescent="0.3">
      <c r="A35" s="19" t="s">
        <v>107</v>
      </c>
      <c r="B35" s="74">
        <f>+B34+B33+B32</f>
        <v>90513</v>
      </c>
      <c r="C35" s="74">
        <f t="shared" ref="C35:G35" si="15">+C34+C33+C32</f>
        <v>93394</v>
      </c>
      <c r="D35" s="74">
        <f t="shared" si="15"/>
        <v>99830</v>
      </c>
      <c r="E35" s="74">
        <f t="shared" si="15"/>
        <v>101450</v>
      </c>
      <c r="F35" s="74">
        <f t="shared" si="15"/>
        <v>103461</v>
      </c>
      <c r="G35" s="74">
        <f t="shared" si="15"/>
        <v>120092</v>
      </c>
      <c r="H35" s="85"/>
    </row>
    <row r="36" spans="1:8" ht="15.75" thickTop="1" x14ac:dyDescent="0.25">
      <c r="B36" s="19">
        <f>+B35-B21</f>
        <v>0</v>
      </c>
      <c r="C36" s="19">
        <f t="shared" ref="C36:G36" si="16">+C35-C21</f>
        <v>0</v>
      </c>
      <c r="D36" s="19">
        <f t="shared" si="16"/>
        <v>0</v>
      </c>
      <c r="E36" s="19">
        <f t="shared" si="16"/>
        <v>0</v>
      </c>
      <c r="F36" s="19">
        <f t="shared" si="16"/>
        <v>0</v>
      </c>
      <c r="G36" s="19">
        <f t="shared" si="16"/>
        <v>0</v>
      </c>
    </row>
    <row r="37" spans="1:8" x14ac:dyDescent="0.25">
      <c r="A37" s="19" t="s">
        <v>108</v>
      </c>
      <c r="B37" s="19">
        <v>1243</v>
      </c>
      <c r="C37" s="19">
        <v>1235</v>
      </c>
      <c r="D37" s="19">
        <v>1228</v>
      </c>
      <c r="E37" s="19">
        <v>1224</v>
      </c>
      <c r="F37" s="19">
        <v>1224</v>
      </c>
      <c r="G37" s="19">
        <v>1221</v>
      </c>
    </row>
    <row r="38" spans="1:8" x14ac:dyDescent="0.25">
      <c r="A38" s="19" t="s">
        <v>109</v>
      </c>
      <c r="B38" s="19">
        <v>-18</v>
      </c>
      <c r="C38" s="19">
        <v>-11</v>
      </c>
      <c r="D38" s="19">
        <v>-5</v>
      </c>
      <c r="E38" s="19">
        <v>-3</v>
      </c>
      <c r="F38" s="19">
        <v>-4</v>
      </c>
      <c r="G38" s="19">
        <v>-2</v>
      </c>
    </row>
    <row r="39" spans="1:8" ht="15.75" thickBot="1" x14ac:dyDescent="0.3">
      <c r="A39" s="19" t="s">
        <v>110</v>
      </c>
      <c r="B39" s="87">
        <f>+B37+B38</f>
        <v>1225</v>
      </c>
      <c r="C39" s="87">
        <f t="shared" ref="C39:G39" si="17">+C37+C38</f>
        <v>1224</v>
      </c>
      <c r="D39" s="87">
        <f t="shared" si="17"/>
        <v>1223</v>
      </c>
      <c r="E39" s="87">
        <f t="shared" si="17"/>
        <v>1221</v>
      </c>
      <c r="F39" s="87">
        <f t="shared" si="17"/>
        <v>1220</v>
      </c>
      <c r="G39" s="87">
        <f t="shared" si="17"/>
        <v>1219</v>
      </c>
      <c r="H39" s="80"/>
    </row>
    <row r="40" spans="1:8" ht="15.75" thickTop="1" x14ac:dyDescent="0.25">
      <c r="A40" s="19" t="s">
        <v>273</v>
      </c>
      <c r="B40" s="24">
        <v>38.130000000000003</v>
      </c>
      <c r="C40" s="24">
        <v>39.22</v>
      </c>
      <c r="D40" s="24">
        <v>36.380000000000003</v>
      </c>
      <c r="E40" s="24">
        <v>24.77</v>
      </c>
      <c r="F40" s="24">
        <v>33.19</v>
      </c>
      <c r="G40" s="24">
        <v>67.14</v>
      </c>
      <c r="H40" s="103">
        <f>RATE(5,0,-G40,B40)</f>
        <v>-0.10698841363458024</v>
      </c>
    </row>
    <row r="41" spans="1:8" x14ac:dyDescent="0.25">
      <c r="A41" s="19" t="s">
        <v>111</v>
      </c>
      <c r="B41" s="60">
        <f>+B39*B40</f>
        <v>46709.25</v>
      </c>
      <c r="C41" s="60">
        <f t="shared" ref="C41:G41" si="18">+C39*C40</f>
        <v>48005.279999999999</v>
      </c>
      <c r="D41" s="60">
        <f t="shared" si="18"/>
        <v>44492.740000000005</v>
      </c>
      <c r="E41" s="60">
        <f t="shared" si="18"/>
        <v>30244.17</v>
      </c>
      <c r="F41" s="60">
        <f t="shared" si="18"/>
        <v>40491.799999999996</v>
      </c>
      <c r="G41" s="60">
        <f t="shared" si="18"/>
        <v>81843.66</v>
      </c>
      <c r="H41" s="60"/>
    </row>
    <row r="43" spans="1:8" s="53" customFormat="1" x14ac:dyDescent="0.25">
      <c r="A43" s="66" t="str">
        <f>+A1</f>
        <v>Kraft Heinz Company</v>
      </c>
      <c r="B43" s="66" t="s">
        <v>261</v>
      </c>
      <c r="C43" s="66"/>
      <c r="D43" s="66"/>
      <c r="E43" s="66"/>
      <c r="F43" s="66"/>
      <c r="G43" s="66"/>
      <c r="H43" s="66"/>
    </row>
    <row r="44" spans="1:8" s="53" customFormat="1" x14ac:dyDescent="0.25">
      <c r="A44" s="66" t="s">
        <v>274</v>
      </c>
      <c r="B44" s="66"/>
      <c r="C44" s="66"/>
      <c r="D44" s="66"/>
      <c r="E44" s="66"/>
      <c r="F44" s="66"/>
      <c r="G44" s="66"/>
      <c r="H44" s="66"/>
    </row>
    <row r="45" spans="1:8" s="53" customFormat="1" x14ac:dyDescent="0.25">
      <c r="A45" s="66" t="str">
        <f>+A3</f>
        <v>in millions except per share data</v>
      </c>
      <c r="B45" s="66"/>
      <c r="C45" s="66"/>
      <c r="D45" s="66"/>
      <c r="E45" s="66"/>
      <c r="F45" s="66" t="s">
        <v>262</v>
      </c>
      <c r="G45" s="67" t="s">
        <v>66</v>
      </c>
      <c r="H45" s="67"/>
    </row>
    <row r="46" spans="1:8" s="53" customFormat="1" ht="15.75" thickBot="1" x14ac:dyDescent="0.3">
      <c r="A46" s="67" t="str">
        <f>+A4</f>
        <v>Year ended near 12/31:</v>
      </c>
      <c r="B46" s="69">
        <v>2022</v>
      </c>
      <c r="C46" s="69">
        <v>2021</v>
      </c>
      <c r="D46" s="69">
        <v>2020</v>
      </c>
      <c r="E46" s="69">
        <v>2019</v>
      </c>
      <c r="F46" s="69">
        <v>2018</v>
      </c>
      <c r="G46" s="69">
        <v>2017</v>
      </c>
      <c r="H46" s="79" t="s">
        <v>275</v>
      </c>
    </row>
    <row r="47" spans="1:8" x14ac:dyDescent="0.25">
      <c r="A47" s="19" t="s">
        <v>276</v>
      </c>
      <c r="B47" s="60">
        <f>+'As Reported'!B68</f>
        <v>2368</v>
      </c>
      <c r="C47" s="60">
        <f>+'As Reported'!C68</f>
        <v>1024</v>
      </c>
      <c r="D47" s="60">
        <f>+'As Reported'!D68</f>
        <v>361</v>
      </c>
      <c r="E47" s="60">
        <f>+'As Reported'!E68</f>
        <v>1933</v>
      </c>
      <c r="F47" s="60">
        <f>+'As Reported'!F68</f>
        <v>-10254</v>
      </c>
      <c r="G47" s="60">
        <f>+'As Reported'!G68</f>
        <v>10932</v>
      </c>
      <c r="H47" s="60">
        <f>SUM(B47:G47)</f>
        <v>6364</v>
      </c>
    </row>
    <row r="48" spans="1:8" x14ac:dyDescent="0.25">
      <c r="A48" s="19" t="s">
        <v>277</v>
      </c>
      <c r="B48" s="19">
        <v>-993</v>
      </c>
      <c r="C48" s="19">
        <v>149</v>
      </c>
      <c r="D48" s="19">
        <v>-78</v>
      </c>
      <c r="E48" s="19">
        <v>-72</v>
      </c>
      <c r="F48" s="19">
        <v>-903</v>
      </c>
      <c r="G48" s="19">
        <v>581</v>
      </c>
      <c r="H48" s="63">
        <f>SUM(B48:G48)</f>
        <v>-1316</v>
      </c>
    </row>
    <row r="49" spans="1:8" x14ac:dyDescent="0.25">
      <c r="A49" s="19" t="s">
        <v>278</v>
      </c>
      <c r="B49" s="57">
        <f t="shared" ref="B49:G49" si="19">SUM(B47:B48)</f>
        <v>1375</v>
      </c>
      <c r="C49" s="57">
        <f t="shared" si="19"/>
        <v>1173</v>
      </c>
      <c r="D49" s="57">
        <f t="shared" si="19"/>
        <v>283</v>
      </c>
      <c r="E49" s="57">
        <f t="shared" si="19"/>
        <v>1861</v>
      </c>
      <c r="F49" s="57">
        <f t="shared" si="19"/>
        <v>-11157</v>
      </c>
      <c r="G49" s="57">
        <f t="shared" si="19"/>
        <v>11513</v>
      </c>
      <c r="H49" s="19">
        <f t="shared" ref="H49:H52" si="20">SUM(B49:G49)</f>
        <v>5048</v>
      </c>
    </row>
    <row r="50" spans="1:8" x14ac:dyDescent="0.25">
      <c r="A50" s="19" t="s">
        <v>55</v>
      </c>
      <c r="B50" s="19">
        <v>-1972</v>
      </c>
      <c r="C50" s="19">
        <v>-1979</v>
      </c>
      <c r="D50" s="19">
        <v>-1973</v>
      </c>
      <c r="E50" s="19">
        <v>-1959</v>
      </c>
      <c r="F50" s="19">
        <v>-3048</v>
      </c>
      <c r="G50" s="19">
        <v>-2988</v>
      </c>
      <c r="H50" s="19">
        <f t="shared" si="20"/>
        <v>-13919</v>
      </c>
    </row>
    <row r="51" spans="1:8" x14ac:dyDescent="0.25">
      <c r="A51" s="19" t="s">
        <v>279</v>
      </c>
      <c r="B51" s="63">
        <f t="shared" ref="B51:G51" si="21">+B52-SUM(B49:B50)</f>
        <v>-21</v>
      </c>
      <c r="C51" s="63">
        <f t="shared" si="21"/>
        <v>11</v>
      </c>
      <c r="D51" s="63">
        <f t="shared" si="21"/>
        <v>184</v>
      </c>
      <c r="E51" s="63">
        <f t="shared" si="21"/>
        <v>72</v>
      </c>
      <c r="F51" s="63">
        <f t="shared" si="21"/>
        <v>-90</v>
      </c>
      <c r="G51" s="63">
        <f t="shared" si="21"/>
        <v>85</v>
      </c>
      <c r="H51" s="63">
        <f t="shared" si="20"/>
        <v>241</v>
      </c>
    </row>
    <row r="52" spans="1:8" x14ac:dyDescent="0.25">
      <c r="A52" s="19" t="s">
        <v>280</v>
      </c>
      <c r="B52" s="19">
        <f>+B54-B53</f>
        <v>-618</v>
      </c>
      <c r="C52" s="19">
        <f t="shared" ref="C52:G52" si="22">+C54-C53</f>
        <v>-795</v>
      </c>
      <c r="D52" s="19">
        <f t="shared" si="22"/>
        <v>-1506</v>
      </c>
      <c r="E52" s="19">
        <f t="shared" si="22"/>
        <v>-26</v>
      </c>
      <c r="F52" s="19">
        <f t="shared" si="22"/>
        <v>-14295</v>
      </c>
      <c r="G52" s="19">
        <f t="shared" si="22"/>
        <v>8610</v>
      </c>
      <c r="H52" s="19">
        <f t="shared" si="20"/>
        <v>-8630</v>
      </c>
    </row>
    <row r="53" spans="1:8" x14ac:dyDescent="0.25">
      <c r="A53" s="19" t="s">
        <v>281</v>
      </c>
      <c r="B53" s="19">
        <f t="shared" ref="B53:E53" si="23">+C54</f>
        <v>49448</v>
      </c>
      <c r="C53" s="19">
        <f t="shared" si="23"/>
        <v>50243</v>
      </c>
      <c r="D53" s="19">
        <f t="shared" si="23"/>
        <v>51749</v>
      </c>
      <c r="E53" s="19">
        <f t="shared" si="23"/>
        <v>51775</v>
      </c>
      <c r="F53" s="19">
        <f>+G54</f>
        <v>66070</v>
      </c>
      <c r="G53" s="19">
        <v>57460</v>
      </c>
      <c r="H53" s="19">
        <f>+G53</f>
        <v>57460</v>
      </c>
    </row>
    <row r="54" spans="1:8" ht="15.75" thickBot="1" x14ac:dyDescent="0.3">
      <c r="A54" s="19" t="s">
        <v>282</v>
      </c>
      <c r="B54" s="74">
        <f t="shared" ref="B54:G54" si="24">+B34</f>
        <v>48830</v>
      </c>
      <c r="C54" s="74">
        <f t="shared" si="24"/>
        <v>49448</v>
      </c>
      <c r="D54" s="74">
        <f t="shared" si="24"/>
        <v>50243</v>
      </c>
      <c r="E54" s="74">
        <f t="shared" si="24"/>
        <v>51749</v>
      </c>
      <c r="F54" s="74">
        <f t="shared" si="24"/>
        <v>51775</v>
      </c>
      <c r="G54" s="74">
        <f t="shared" si="24"/>
        <v>66070</v>
      </c>
      <c r="H54" s="74">
        <f>++H52+H53</f>
        <v>48830</v>
      </c>
    </row>
    <row r="55" spans="1:8" ht="15.75" thickTop="1" x14ac:dyDescent="0.25"/>
    <row r="56" spans="1:8" s="53" customFormat="1" x14ac:dyDescent="0.25">
      <c r="A56" s="66" t="str">
        <f>+A1</f>
        <v>Kraft Heinz Company</v>
      </c>
      <c r="B56" s="66" t="str">
        <f>+B1</f>
        <v>Reclassified</v>
      </c>
      <c r="C56" s="66"/>
      <c r="D56" s="66"/>
      <c r="E56" s="66"/>
      <c r="F56" s="66"/>
      <c r="G56" s="66"/>
      <c r="H56" s="66"/>
    </row>
    <row r="57" spans="1:8" s="53" customFormat="1" x14ac:dyDescent="0.25">
      <c r="A57" s="66" t="s">
        <v>112</v>
      </c>
      <c r="B57" s="66"/>
      <c r="C57" s="66"/>
      <c r="D57" s="66"/>
      <c r="E57" s="66"/>
      <c r="F57" s="66"/>
      <c r="G57" s="66"/>
      <c r="H57" s="66"/>
    </row>
    <row r="58" spans="1:8" s="53" customFormat="1" x14ac:dyDescent="0.25">
      <c r="A58" s="66" t="str">
        <f>+A3</f>
        <v>in millions except per share data</v>
      </c>
      <c r="B58" s="66"/>
      <c r="C58" s="66"/>
      <c r="D58" s="66"/>
      <c r="E58" s="66"/>
      <c r="F58" s="66" t="s">
        <v>262</v>
      </c>
      <c r="G58" s="72" t="s">
        <v>66</v>
      </c>
      <c r="H58" s="67"/>
    </row>
    <row r="59" spans="1:8" s="53" customFormat="1" ht="15.75" thickBot="1" x14ac:dyDescent="0.3">
      <c r="A59" s="67" t="str">
        <f>+A4</f>
        <v>Year ended near 12/31:</v>
      </c>
      <c r="B59" s="69">
        <v>2022</v>
      </c>
      <c r="C59" s="69">
        <v>2021</v>
      </c>
      <c r="D59" s="69">
        <v>2020</v>
      </c>
      <c r="E59" s="69">
        <v>2019</v>
      </c>
      <c r="F59" s="69">
        <v>2018</v>
      </c>
      <c r="G59" s="69">
        <v>2017</v>
      </c>
      <c r="H59" s="69" t="s">
        <v>275</v>
      </c>
    </row>
    <row r="60" spans="1:8" x14ac:dyDescent="0.25">
      <c r="A60" s="19" t="s">
        <v>115</v>
      </c>
      <c r="B60" s="60">
        <v>26485</v>
      </c>
      <c r="C60" s="60">
        <v>26042</v>
      </c>
      <c r="D60" s="60">
        <v>26185</v>
      </c>
      <c r="E60" s="60">
        <v>24977</v>
      </c>
      <c r="F60" s="60">
        <v>26268</v>
      </c>
      <c r="G60" s="60">
        <v>26076</v>
      </c>
      <c r="H60" s="60">
        <f>SUM(B60:G60)</f>
        <v>156033</v>
      </c>
    </row>
    <row r="61" spans="1:8" x14ac:dyDescent="0.25">
      <c r="A61" s="54" t="s">
        <v>116</v>
      </c>
      <c r="B61" s="19">
        <v>18363</v>
      </c>
      <c r="C61" s="19">
        <v>17360</v>
      </c>
      <c r="D61" s="19">
        <v>17008</v>
      </c>
      <c r="E61" s="19">
        <v>16830</v>
      </c>
      <c r="F61" s="19">
        <v>17347</v>
      </c>
      <c r="G61" s="19">
        <v>17043</v>
      </c>
      <c r="H61" s="19">
        <f>SUM(B61:G61)</f>
        <v>103951</v>
      </c>
    </row>
    <row r="62" spans="1:8" x14ac:dyDescent="0.25">
      <c r="A62" s="19" t="s">
        <v>117</v>
      </c>
      <c r="B62" s="57">
        <f>+B60-B61</f>
        <v>8122</v>
      </c>
      <c r="C62" s="57">
        <f t="shared" ref="C62:G62" si="25">+C60-C61</f>
        <v>8682</v>
      </c>
      <c r="D62" s="57">
        <f t="shared" si="25"/>
        <v>9177</v>
      </c>
      <c r="E62" s="57">
        <f t="shared" si="25"/>
        <v>8147</v>
      </c>
      <c r="F62" s="57">
        <f t="shared" si="25"/>
        <v>8921</v>
      </c>
      <c r="G62" s="57">
        <f t="shared" si="25"/>
        <v>9033</v>
      </c>
      <c r="H62" s="57">
        <f t="shared" ref="H62:H76" si="26">SUM(B62:G62)</f>
        <v>52082</v>
      </c>
    </row>
    <row r="63" spans="1:8" x14ac:dyDescent="0.25">
      <c r="A63" s="54" t="s">
        <v>283</v>
      </c>
      <c r="B63" s="19">
        <f t="shared" ref="B63:G63" si="27">+B432</f>
        <v>2503</v>
      </c>
      <c r="C63" s="19">
        <f t="shared" si="27"/>
        <v>2409</v>
      </c>
      <c r="D63" s="19">
        <f t="shared" si="27"/>
        <v>2461</v>
      </c>
      <c r="E63" s="19">
        <f t="shared" si="27"/>
        <v>1966</v>
      </c>
      <c r="F63" s="19">
        <f t="shared" si="27"/>
        <v>1941</v>
      </c>
      <c r="G63" s="19">
        <f t="shared" si="27"/>
        <v>1719</v>
      </c>
      <c r="H63" s="19">
        <f t="shared" si="26"/>
        <v>12999</v>
      </c>
    </row>
    <row r="64" spans="1:8" x14ac:dyDescent="0.25">
      <c r="A64" s="54" t="s">
        <v>284</v>
      </c>
      <c r="B64" s="19">
        <f t="shared" ref="B64:G65" si="28">+B367</f>
        <v>945</v>
      </c>
      <c r="C64" s="19">
        <f t="shared" si="28"/>
        <v>1039</v>
      </c>
      <c r="D64" s="19">
        <f t="shared" si="28"/>
        <v>1070</v>
      </c>
      <c r="E64" s="19">
        <f t="shared" si="28"/>
        <v>1100</v>
      </c>
      <c r="F64" s="19">
        <f t="shared" si="28"/>
        <v>1140</v>
      </c>
      <c r="G64" s="19">
        <f t="shared" si="28"/>
        <v>1115</v>
      </c>
      <c r="H64" s="19">
        <f t="shared" si="26"/>
        <v>6409</v>
      </c>
    </row>
    <row r="65" spans="1:8" x14ac:dyDescent="0.25">
      <c r="A65" s="54" t="s">
        <v>285</v>
      </c>
      <c r="B65" s="19">
        <f t="shared" si="28"/>
        <v>127</v>
      </c>
      <c r="C65" s="19">
        <f t="shared" si="28"/>
        <v>140</v>
      </c>
      <c r="D65" s="19">
        <f t="shared" si="28"/>
        <v>119</v>
      </c>
      <c r="E65" s="19">
        <f t="shared" si="28"/>
        <v>112</v>
      </c>
      <c r="F65" s="19">
        <f t="shared" si="28"/>
        <v>109</v>
      </c>
      <c r="G65" s="19">
        <f t="shared" si="28"/>
        <v>93</v>
      </c>
      <c r="H65" s="19">
        <f t="shared" si="26"/>
        <v>700</v>
      </c>
    </row>
    <row r="66" spans="1:8" x14ac:dyDescent="0.25">
      <c r="A66" s="54" t="s">
        <v>119</v>
      </c>
      <c r="B66" s="19">
        <v>444</v>
      </c>
      <c r="C66" s="19">
        <v>318</v>
      </c>
      <c r="D66" s="19">
        <v>2343</v>
      </c>
      <c r="E66" s="19">
        <v>1197</v>
      </c>
      <c r="F66" s="19">
        <v>7008</v>
      </c>
      <c r="G66" s="19">
        <v>0</v>
      </c>
      <c r="H66" s="19">
        <f t="shared" si="26"/>
        <v>11310</v>
      </c>
    </row>
    <row r="67" spans="1:8" x14ac:dyDescent="0.25">
      <c r="A67" s="54" t="s">
        <v>120</v>
      </c>
      <c r="B67" s="19">
        <v>469</v>
      </c>
      <c r="C67" s="19">
        <v>1316</v>
      </c>
      <c r="D67" s="19">
        <v>1056</v>
      </c>
      <c r="E67" s="19">
        <v>702</v>
      </c>
      <c r="F67" s="19">
        <v>8928</v>
      </c>
      <c r="G67" s="19">
        <v>49</v>
      </c>
      <c r="H67" s="19">
        <f t="shared" si="26"/>
        <v>12520</v>
      </c>
    </row>
    <row r="68" spans="1:8" x14ac:dyDescent="0.25">
      <c r="A68" s="62" t="s">
        <v>121</v>
      </c>
      <c r="B68" s="55">
        <f>SUM(B63:B67)</f>
        <v>4488</v>
      </c>
      <c r="C68" s="55">
        <f t="shared" ref="C68:G68" si="29">SUM(C63:C67)</f>
        <v>5222</v>
      </c>
      <c r="D68" s="55">
        <f t="shared" si="29"/>
        <v>7049</v>
      </c>
      <c r="E68" s="55">
        <f t="shared" si="29"/>
        <v>5077</v>
      </c>
      <c r="F68" s="55">
        <f t="shared" si="29"/>
        <v>19126</v>
      </c>
      <c r="G68" s="55">
        <f t="shared" si="29"/>
        <v>2976</v>
      </c>
      <c r="H68" s="55">
        <f t="shared" si="26"/>
        <v>43938</v>
      </c>
    </row>
    <row r="69" spans="1:8" x14ac:dyDescent="0.25">
      <c r="A69" s="19" t="s">
        <v>122</v>
      </c>
      <c r="B69" s="19">
        <f>+B62-B68</f>
        <v>3634</v>
      </c>
      <c r="C69" s="19">
        <f t="shared" ref="C69:G69" si="30">+C62-C68</f>
        <v>3460</v>
      </c>
      <c r="D69" s="19">
        <f t="shared" si="30"/>
        <v>2128</v>
      </c>
      <c r="E69" s="19">
        <f t="shared" si="30"/>
        <v>3070</v>
      </c>
      <c r="F69" s="19">
        <f t="shared" si="30"/>
        <v>-10205</v>
      </c>
      <c r="G69" s="19">
        <f t="shared" si="30"/>
        <v>6057</v>
      </c>
      <c r="H69" s="19">
        <f t="shared" si="26"/>
        <v>8144</v>
      </c>
    </row>
    <row r="70" spans="1:8" x14ac:dyDescent="0.25">
      <c r="A70" s="54" t="s">
        <v>123</v>
      </c>
      <c r="B70" s="19">
        <v>921</v>
      </c>
      <c r="C70" s="19">
        <v>2047</v>
      </c>
      <c r="D70" s="19">
        <v>1394</v>
      </c>
      <c r="E70" s="19">
        <v>1361</v>
      </c>
      <c r="F70" s="19">
        <v>1284</v>
      </c>
      <c r="G70" s="19">
        <v>1234</v>
      </c>
      <c r="H70" s="19">
        <f t="shared" si="26"/>
        <v>8241</v>
      </c>
    </row>
    <row r="71" spans="1:8" x14ac:dyDescent="0.25">
      <c r="A71" s="54" t="s">
        <v>124</v>
      </c>
      <c r="B71" s="19">
        <v>-253</v>
      </c>
      <c r="C71" s="19">
        <v>-295</v>
      </c>
      <c r="D71" s="19">
        <v>-296</v>
      </c>
      <c r="E71" s="19">
        <v>-952</v>
      </c>
      <c r="F71" s="19">
        <v>-168</v>
      </c>
      <c r="G71" s="19">
        <v>-627</v>
      </c>
      <c r="H71" s="19">
        <f t="shared" si="26"/>
        <v>-2591</v>
      </c>
    </row>
    <row r="72" spans="1:8" x14ac:dyDescent="0.25">
      <c r="A72" s="19" t="s">
        <v>125</v>
      </c>
      <c r="B72" s="57">
        <f>+B69-B70-B71</f>
        <v>2966</v>
      </c>
      <c r="C72" s="57">
        <f t="shared" ref="C72:G72" si="31">+C69-C70-C71</f>
        <v>1708</v>
      </c>
      <c r="D72" s="57">
        <f t="shared" si="31"/>
        <v>1030</v>
      </c>
      <c r="E72" s="57">
        <f t="shared" si="31"/>
        <v>2661</v>
      </c>
      <c r="F72" s="57">
        <f t="shared" si="31"/>
        <v>-11321</v>
      </c>
      <c r="G72" s="57">
        <f t="shared" si="31"/>
        <v>5450</v>
      </c>
      <c r="H72" s="57">
        <f t="shared" si="26"/>
        <v>2494</v>
      </c>
    </row>
    <row r="73" spans="1:8" x14ac:dyDescent="0.25">
      <c r="A73" s="54" t="s">
        <v>126</v>
      </c>
      <c r="B73" s="19">
        <v>598</v>
      </c>
      <c r="C73" s="19">
        <v>684</v>
      </c>
      <c r="D73" s="19">
        <v>669</v>
      </c>
      <c r="E73" s="19">
        <v>728</v>
      </c>
      <c r="F73" s="19">
        <v>-1067</v>
      </c>
      <c r="G73" s="19">
        <v>-5482</v>
      </c>
      <c r="H73" s="19">
        <f t="shared" si="26"/>
        <v>-3870</v>
      </c>
    </row>
    <row r="74" spans="1:8" x14ac:dyDescent="0.25">
      <c r="A74" s="19" t="s">
        <v>127</v>
      </c>
      <c r="B74" s="57">
        <f>+B72-B73</f>
        <v>2368</v>
      </c>
      <c r="C74" s="57">
        <f t="shared" ref="C74:G74" si="32">+C72-C73</f>
        <v>1024</v>
      </c>
      <c r="D74" s="57">
        <f t="shared" si="32"/>
        <v>361</v>
      </c>
      <c r="E74" s="57">
        <f t="shared" si="32"/>
        <v>1933</v>
      </c>
      <c r="F74" s="57">
        <f t="shared" si="32"/>
        <v>-10254</v>
      </c>
      <c r="G74" s="57">
        <f t="shared" si="32"/>
        <v>10932</v>
      </c>
      <c r="H74" s="57">
        <f t="shared" si="26"/>
        <v>6364</v>
      </c>
    </row>
    <row r="75" spans="1:8" x14ac:dyDescent="0.25">
      <c r="A75" s="54" t="s">
        <v>105</v>
      </c>
      <c r="B75" s="19">
        <v>5</v>
      </c>
      <c r="C75" s="19">
        <v>12</v>
      </c>
      <c r="D75" s="19">
        <v>5</v>
      </c>
      <c r="E75" s="19">
        <v>-2</v>
      </c>
      <c r="F75" s="19">
        <v>-62</v>
      </c>
      <c r="G75" s="19">
        <v>-9</v>
      </c>
      <c r="H75" s="19">
        <f t="shared" si="26"/>
        <v>-51</v>
      </c>
    </row>
    <row r="76" spans="1:8" ht="15.75" thickBot="1" x14ac:dyDescent="0.3">
      <c r="A76" s="19" t="s">
        <v>128</v>
      </c>
      <c r="B76" s="74">
        <f>+B74-B75</f>
        <v>2363</v>
      </c>
      <c r="C76" s="74">
        <f t="shared" ref="C76:G76" si="33">+C74-C75</f>
        <v>1012</v>
      </c>
      <c r="D76" s="74">
        <f t="shared" si="33"/>
        <v>356</v>
      </c>
      <c r="E76" s="74">
        <f t="shared" si="33"/>
        <v>1935</v>
      </c>
      <c r="F76" s="74">
        <f t="shared" si="33"/>
        <v>-10192</v>
      </c>
      <c r="G76" s="74">
        <f t="shared" si="33"/>
        <v>10941</v>
      </c>
      <c r="H76" s="74">
        <f t="shared" si="26"/>
        <v>6415</v>
      </c>
    </row>
    <row r="77" spans="1:8" ht="15.75" thickTop="1" x14ac:dyDescent="0.25">
      <c r="B77" s="19">
        <f>+B76-'As Reported'!B70</f>
        <v>0</v>
      </c>
      <c r="C77" s="19">
        <f>+C76-'As Reported'!C70</f>
        <v>0</v>
      </c>
      <c r="D77" s="19">
        <f>+D76-'As Reported'!D70</f>
        <v>0</v>
      </c>
      <c r="E77" s="19">
        <f>+E76-'As Reported'!E70</f>
        <v>0</v>
      </c>
      <c r="F77" s="19">
        <f>+F76-'As Reported'!F70</f>
        <v>0</v>
      </c>
      <c r="G77" s="19">
        <f>+G76-'As Reported'!G70</f>
        <v>0</v>
      </c>
    </row>
    <row r="78" spans="1:8" x14ac:dyDescent="0.25">
      <c r="A78" s="19" t="s">
        <v>131</v>
      </c>
      <c r="B78" s="19">
        <v>1235</v>
      </c>
      <c r="C78" s="19">
        <v>1236</v>
      </c>
      <c r="D78" s="19">
        <v>1228</v>
      </c>
      <c r="E78" s="19">
        <v>1224</v>
      </c>
      <c r="F78" s="19">
        <v>1219</v>
      </c>
      <c r="G78" s="19">
        <v>1228</v>
      </c>
    </row>
    <row r="79" spans="1:8" x14ac:dyDescent="0.25">
      <c r="A79" s="19" t="s">
        <v>132</v>
      </c>
      <c r="B79" s="24">
        <f>+B76/B78</f>
        <v>1.9133603238866397</v>
      </c>
      <c r="C79" s="24">
        <f t="shared" ref="C79:G79" si="34">+C76/C78</f>
        <v>0.81877022653721687</v>
      </c>
      <c r="D79" s="24">
        <f t="shared" si="34"/>
        <v>0.28990228013029318</v>
      </c>
      <c r="E79" s="24">
        <f t="shared" si="34"/>
        <v>1.5808823529411764</v>
      </c>
      <c r="F79" s="24">
        <f t="shared" si="34"/>
        <v>-8.3609515996718624</v>
      </c>
      <c r="G79" s="24">
        <f t="shared" si="34"/>
        <v>8.9096091205211732</v>
      </c>
      <c r="H79" s="24"/>
    </row>
    <row r="80" spans="1:8" x14ac:dyDescent="0.25">
      <c r="A80" s="19" t="s">
        <v>133</v>
      </c>
      <c r="B80" s="24">
        <v>1.6</v>
      </c>
      <c r="C80" s="24">
        <v>1.6</v>
      </c>
      <c r="D80" s="24">
        <v>1.6</v>
      </c>
      <c r="E80" s="24">
        <v>1.6</v>
      </c>
      <c r="F80" s="24">
        <v>2.5</v>
      </c>
      <c r="G80" s="24">
        <v>2.4500000000000002</v>
      </c>
      <c r="H80" s="24"/>
    </row>
    <row r="81" spans="1:8" x14ac:dyDescent="0.25">
      <c r="B81" s="24"/>
      <c r="C81" s="24"/>
      <c r="D81" s="24"/>
      <c r="E81" s="24"/>
      <c r="F81" s="24"/>
      <c r="G81" s="24"/>
      <c r="H81" s="24"/>
    </row>
    <row r="82" spans="1:8" x14ac:dyDescent="0.25">
      <c r="A82" s="19" t="s">
        <v>286</v>
      </c>
      <c r="B82" s="83">
        <f>+B73/B72</f>
        <v>0.20161834120026972</v>
      </c>
      <c r="C82" s="83">
        <f t="shared" ref="C82:G82" si="35">+C73/C72</f>
        <v>0.40046838407494145</v>
      </c>
      <c r="D82" s="83">
        <f t="shared" si="35"/>
        <v>0.64951456310679612</v>
      </c>
      <c r="E82" s="83">
        <f t="shared" si="35"/>
        <v>0.27358136039083053</v>
      </c>
      <c r="F82" s="83">
        <f t="shared" si="35"/>
        <v>9.4249624591467185E-2</v>
      </c>
      <c r="G82" s="83">
        <f t="shared" si="35"/>
        <v>-1.0058715596330274</v>
      </c>
      <c r="H82" s="83">
        <f>SUM(B82:G82)</f>
        <v>0.61356071373127752</v>
      </c>
    </row>
    <row r="83" spans="1:8" x14ac:dyDescent="0.25">
      <c r="B83" s="24"/>
      <c r="C83" s="24"/>
      <c r="D83" s="24"/>
      <c r="E83" s="24"/>
      <c r="F83" s="24"/>
      <c r="G83" s="24"/>
      <c r="H83" s="24"/>
    </row>
    <row r="84" spans="1:8" x14ac:dyDescent="0.25">
      <c r="A84" s="53" t="s">
        <v>287</v>
      </c>
    </row>
    <row r="85" spans="1:8" x14ac:dyDescent="0.25">
      <c r="A85" s="19" t="s">
        <v>217</v>
      </c>
      <c r="B85" s="60">
        <f>+B76</f>
        <v>2363</v>
      </c>
      <c r="C85" s="60">
        <f t="shared" ref="C85:G85" si="36">+C76</f>
        <v>1012</v>
      </c>
      <c r="D85" s="60">
        <f t="shared" si="36"/>
        <v>356</v>
      </c>
      <c r="E85" s="60">
        <f t="shared" si="36"/>
        <v>1935</v>
      </c>
      <c r="F85" s="60">
        <f t="shared" si="36"/>
        <v>-10192</v>
      </c>
      <c r="G85" s="60">
        <f t="shared" si="36"/>
        <v>10941</v>
      </c>
    </row>
    <row r="86" spans="1:8" x14ac:dyDescent="0.25">
      <c r="A86" s="54" t="s">
        <v>288</v>
      </c>
      <c r="B86" s="19">
        <f>+B73</f>
        <v>598</v>
      </c>
      <c r="C86" s="19">
        <f t="shared" ref="C86:G86" si="37">+C73</f>
        <v>684</v>
      </c>
      <c r="D86" s="19">
        <f t="shared" si="37"/>
        <v>669</v>
      </c>
      <c r="E86" s="19">
        <f t="shared" si="37"/>
        <v>728</v>
      </c>
      <c r="F86" s="19">
        <f t="shared" si="37"/>
        <v>-1067</v>
      </c>
      <c r="G86" s="19">
        <f t="shared" si="37"/>
        <v>-5482</v>
      </c>
    </row>
    <row r="87" spans="1:8" x14ac:dyDescent="0.25">
      <c r="A87" s="54" t="s">
        <v>289</v>
      </c>
      <c r="B87" s="63">
        <f>+B70</f>
        <v>921</v>
      </c>
      <c r="C87" s="63">
        <f t="shared" ref="C87:G87" si="38">+C70</f>
        <v>2047</v>
      </c>
      <c r="D87" s="63">
        <f t="shared" si="38"/>
        <v>1394</v>
      </c>
      <c r="E87" s="63">
        <f t="shared" si="38"/>
        <v>1361</v>
      </c>
      <c r="F87" s="63">
        <f t="shared" si="38"/>
        <v>1284</v>
      </c>
      <c r="G87" s="63">
        <f t="shared" si="38"/>
        <v>1234</v>
      </c>
    </row>
    <row r="88" spans="1:8" x14ac:dyDescent="0.25">
      <c r="A88" s="19" t="s">
        <v>247</v>
      </c>
      <c r="B88" s="19">
        <f>SUM(B85:B87)</f>
        <v>3882</v>
      </c>
      <c r="C88" s="19">
        <f t="shared" ref="C88:G88" si="39">SUM(C85:C87)</f>
        <v>3743</v>
      </c>
      <c r="D88" s="19">
        <f t="shared" si="39"/>
        <v>2419</v>
      </c>
      <c r="E88" s="19">
        <f t="shared" si="39"/>
        <v>4024</v>
      </c>
      <c r="F88" s="19">
        <f t="shared" si="39"/>
        <v>-9975</v>
      </c>
      <c r="G88" s="19">
        <f t="shared" si="39"/>
        <v>6693</v>
      </c>
    </row>
    <row r="89" spans="1:8" x14ac:dyDescent="0.25">
      <c r="A89" s="54" t="s">
        <v>290</v>
      </c>
      <c r="B89" s="19">
        <f t="shared" ref="B89:G89" si="40">+B152</f>
        <v>933</v>
      </c>
      <c r="C89" s="19">
        <f t="shared" si="40"/>
        <v>910</v>
      </c>
      <c r="D89" s="19">
        <f t="shared" si="40"/>
        <v>969</v>
      </c>
      <c r="E89" s="19">
        <f t="shared" si="40"/>
        <v>994</v>
      </c>
      <c r="F89" s="19">
        <f t="shared" si="40"/>
        <v>983</v>
      </c>
      <c r="G89" s="19">
        <f t="shared" si="40"/>
        <v>1031</v>
      </c>
    </row>
    <row r="90" spans="1:8" ht="15.75" thickBot="1" x14ac:dyDescent="0.3">
      <c r="A90" s="19" t="s">
        <v>291</v>
      </c>
      <c r="B90" s="74">
        <f>+B89+B88</f>
        <v>4815</v>
      </c>
      <c r="C90" s="74">
        <f t="shared" ref="C90:G90" si="41">+C89+C88</f>
        <v>4653</v>
      </c>
      <c r="D90" s="74">
        <f t="shared" si="41"/>
        <v>3388</v>
      </c>
      <c r="E90" s="74">
        <f t="shared" si="41"/>
        <v>5018</v>
      </c>
      <c r="F90" s="74">
        <f t="shared" si="41"/>
        <v>-8992</v>
      </c>
      <c r="G90" s="74">
        <f t="shared" si="41"/>
        <v>7724</v>
      </c>
    </row>
    <row r="91" spans="1:8" ht="15.75" thickTop="1" x14ac:dyDescent="0.25"/>
    <row r="92" spans="1:8" x14ac:dyDescent="0.25">
      <c r="A92" s="19" t="s">
        <v>216</v>
      </c>
      <c r="B92" s="60">
        <f>+B69</f>
        <v>3634</v>
      </c>
      <c r="C92" s="60">
        <f t="shared" ref="C92:G92" si="42">+C69</f>
        <v>3460</v>
      </c>
      <c r="D92" s="60">
        <f t="shared" si="42"/>
        <v>2128</v>
      </c>
      <c r="E92" s="60">
        <f t="shared" si="42"/>
        <v>3070</v>
      </c>
      <c r="F92" s="60">
        <f t="shared" si="42"/>
        <v>-10205</v>
      </c>
      <c r="G92" s="60">
        <f t="shared" si="42"/>
        <v>6057</v>
      </c>
    </row>
    <row r="93" spans="1:8" x14ac:dyDescent="0.25">
      <c r="A93" s="54" t="s">
        <v>292</v>
      </c>
      <c r="B93" s="19">
        <f>-B71</f>
        <v>253</v>
      </c>
      <c r="C93" s="19">
        <f t="shared" ref="C93:G93" si="43">-C71</f>
        <v>295</v>
      </c>
      <c r="D93" s="19">
        <f t="shared" si="43"/>
        <v>296</v>
      </c>
      <c r="E93" s="19">
        <f t="shared" si="43"/>
        <v>952</v>
      </c>
      <c r="F93" s="19">
        <f t="shared" si="43"/>
        <v>168</v>
      </c>
      <c r="G93" s="19">
        <f t="shared" si="43"/>
        <v>627</v>
      </c>
    </row>
    <row r="94" spans="1:8" x14ac:dyDescent="0.25">
      <c r="A94" s="54" t="s">
        <v>105</v>
      </c>
      <c r="B94" s="19">
        <f>-B75</f>
        <v>-5</v>
      </c>
      <c r="C94" s="19">
        <f t="shared" ref="C94:G94" si="44">-C75</f>
        <v>-12</v>
      </c>
      <c r="D94" s="19">
        <f t="shared" si="44"/>
        <v>-5</v>
      </c>
      <c r="E94" s="19">
        <f t="shared" si="44"/>
        <v>2</v>
      </c>
      <c r="F94" s="19">
        <f t="shared" si="44"/>
        <v>62</v>
      </c>
      <c r="G94" s="19">
        <f t="shared" si="44"/>
        <v>9</v>
      </c>
    </row>
    <row r="95" spans="1:8" ht="15.75" thickBot="1" x14ac:dyDescent="0.3">
      <c r="A95" s="19" t="s">
        <v>247</v>
      </c>
      <c r="B95" s="74">
        <f>+SUM(B92:B94)</f>
        <v>3882</v>
      </c>
      <c r="C95" s="74">
        <f t="shared" ref="C95:G95" si="45">+SUM(C92:C94)</f>
        <v>3743</v>
      </c>
      <c r="D95" s="74">
        <f t="shared" si="45"/>
        <v>2419</v>
      </c>
      <c r="E95" s="74">
        <f t="shared" si="45"/>
        <v>4024</v>
      </c>
      <c r="F95" s="74">
        <f t="shared" si="45"/>
        <v>-9975</v>
      </c>
      <c r="G95" s="74">
        <f t="shared" si="45"/>
        <v>6693</v>
      </c>
    </row>
    <row r="96" spans="1:8" ht="15.75" thickTop="1" x14ac:dyDescent="0.25"/>
    <row r="97" spans="1:7" x14ac:dyDescent="0.25">
      <c r="A97" s="66" t="str">
        <f>A1</f>
        <v>Kraft Heinz Company</v>
      </c>
      <c r="B97" s="82"/>
      <c r="C97" s="82"/>
      <c r="D97" s="82"/>
      <c r="E97" s="82"/>
      <c r="F97" s="82"/>
      <c r="G97" s="82"/>
    </row>
    <row r="98" spans="1:7" x14ac:dyDescent="0.25">
      <c r="A98" s="66" t="s">
        <v>398</v>
      </c>
      <c r="B98" s="82"/>
      <c r="C98" s="82"/>
      <c r="D98" s="82"/>
      <c r="E98" s="82"/>
      <c r="F98" s="82"/>
      <c r="G98" s="82"/>
    </row>
    <row r="99" spans="1:7" x14ac:dyDescent="0.25">
      <c r="A99" s="66" t="str">
        <f>A3</f>
        <v>in millions except per share data</v>
      </c>
      <c r="B99" s="82"/>
      <c r="C99" s="82"/>
      <c r="D99" s="82"/>
      <c r="E99" s="82"/>
      <c r="F99" s="82"/>
      <c r="G99" s="82"/>
    </row>
    <row r="100" spans="1:7" ht="15.75" thickBot="1" x14ac:dyDescent="0.3">
      <c r="A100" s="66" t="str">
        <f>A4</f>
        <v>Year ended near 12/31:</v>
      </c>
      <c r="B100" s="69">
        <v>2022</v>
      </c>
      <c r="C100" s="69">
        <v>2021</v>
      </c>
      <c r="D100" s="69">
        <v>2020</v>
      </c>
      <c r="E100" s="69">
        <v>2019</v>
      </c>
      <c r="F100" s="69">
        <v>2018</v>
      </c>
      <c r="G100" s="69">
        <v>2017</v>
      </c>
    </row>
    <row r="101" spans="1:7" x14ac:dyDescent="0.25">
      <c r="A101" s="19" t="s">
        <v>276</v>
      </c>
      <c r="B101" s="60">
        <v>2363</v>
      </c>
      <c r="C101" s="60">
        <v>1012</v>
      </c>
      <c r="D101" s="60">
        <v>356</v>
      </c>
      <c r="E101" s="60">
        <v>1935</v>
      </c>
      <c r="F101" s="60">
        <v>-10192</v>
      </c>
      <c r="G101" s="60">
        <v>10941</v>
      </c>
    </row>
    <row r="102" spans="1:7" x14ac:dyDescent="0.25">
      <c r="A102" s="19" t="s">
        <v>480</v>
      </c>
    </row>
    <row r="103" spans="1:7" x14ac:dyDescent="0.25">
      <c r="A103" s="54" t="s">
        <v>481</v>
      </c>
      <c r="B103" s="19">
        <v>444</v>
      </c>
      <c r="C103" s="19">
        <v>318</v>
      </c>
      <c r="D103" s="19">
        <v>2300</v>
      </c>
      <c r="E103" s="19">
        <v>1200</v>
      </c>
      <c r="F103" s="19">
        <v>7008</v>
      </c>
      <c r="G103" s="19">
        <v>0</v>
      </c>
    </row>
    <row r="104" spans="1:7" x14ac:dyDescent="0.25">
      <c r="A104" s="61" t="s">
        <v>482</v>
      </c>
      <c r="B104" s="19">
        <v>469</v>
      </c>
      <c r="C104" s="19">
        <v>1316</v>
      </c>
      <c r="D104" s="19">
        <v>1100</v>
      </c>
      <c r="E104" s="19">
        <v>702</v>
      </c>
      <c r="F104" s="19">
        <v>8928</v>
      </c>
      <c r="G104" s="19">
        <v>49</v>
      </c>
    </row>
    <row r="105" spans="1:7" x14ac:dyDescent="0.25">
      <c r="A105" s="61" t="s">
        <v>483</v>
      </c>
      <c r="B105" s="63">
        <v>86</v>
      </c>
      <c r="C105" s="63">
        <v>0</v>
      </c>
      <c r="D105" s="63">
        <v>14</v>
      </c>
      <c r="E105" s="63">
        <v>0</v>
      </c>
      <c r="F105" s="63">
        <v>0</v>
      </c>
      <c r="G105" s="63">
        <v>0</v>
      </c>
    </row>
    <row r="106" spans="1:7" x14ac:dyDescent="0.25">
      <c r="A106" s="61" t="s">
        <v>484</v>
      </c>
    </row>
    <row r="107" spans="1:7" x14ac:dyDescent="0.25">
      <c r="A107" s="54" t="s">
        <v>485</v>
      </c>
      <c r="B107" s="19">
        <v>-499.71698113207549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</row>
    <row r="108" spans="1:7" x14ac:dyDescent="0.25">
      <c r="A108" s="54" t="s">
        <v>486</v>
      </c>
      <c r="B108" s="63">
        <v>346.47169811320754</v>
      </c>
      <c r="C108" s="63">
        <v>0</v>
      </c>
      <c r="D108" s="63">
        <v>0</v>
      </c>
      <c r="E108" s="63">
        <v>0</v>
      </c>
      <c r="F108" s="63">
        <v>0</v>
      </c>
      <c r="G108" s="63">
        <v>0</v>
      </c>
    </row>
    <row r="109" spans="1:7" x14ac:dyDescent="0.25">
      <c r="A109" s="54" t="s">
        <v>487</v>
      </c>
    </row>
    <row r="110" spans="1:7" x14ac:dyDescent="0.25">
      <c r="A110" s="54" t="s">
        <v>488</v>
      </c>
      <c r="B110" s="80">
        <v>-38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</row>
    <row r="111" spans="1:7" x14ac:dyDescent="0.25">
      <c r="A111" s="54" t="s">
        <v>489</v>
      </c>
      <c r="B111" s="80">
        <v>0</v>
      </c>
      <c r="C111" s="80">
        <v>0</v>
      </c>
      <c r="D111" s="80">
        <v>0</v>
      </c>
      <c r="E111" s="80">
        <v>1</v>
      </c>
      <c r="F111" s="19">
        <v>3</v>
      </c>
      <c r="G111" s="80">
        <v>0</v>
      </c>
    </row>
    <row r="112" spans="1:7" x14ac:dyDescent="0.25">
      <c r="A112" s="54" t="s">
        <v>490</v>
      </c>
      <c r="B112" s="80">
        <v>0</v>
      </c>
      <c r="C112" s="80">
        <v>0</v>
      </c>
      <c r="D112" s="80">
        <v>0</v>
      </c>
      <c r="E112" s="80">
        <v>6</v>
      </c>
      <c r="F112" s="80">
        <v>17</v>
      </c>
      <c r="G112" s="80">
        <v>0</v>
      </c>
    </row>
    <row r="113" spans="1:8" x14ac:dyDescent="0.25">
      <c r="A113" s="54" t="s">
        <v>491</v>
      </c>
      <c r="B113" s="106">
        <v>9</v>
      </c>
      <c r="C113" s="106">
        <v>11</v>
      </c>
      <c r="D113" s="106">
        <v>8</v>
      </c>
      <c r="E113" s="106">
        <v>19</v>
      </c>
      <c r="F113" s="106">
        <v>19</v>
      </c>
      <c r="G113" s="106">
        <v>0</v>
      </c>
      <c r="H113" s="80"/>
    </row>
    <row r="114" spans="1:8" x14ac:dyDescent="0.25">
      <c r="A114" s="54" t="s">
        <v>492</v>
      </c>
      <c r="B114" s="63">
        <v>0</v>
      </c>
      <c r="C114" s="63">
        <v>0</v>
      </c>
      <c r="D114" s="63">
        <v>0</v>
      </c>
      <c r="E114" s="63">
        <v>0</v>
      </c>
      <c r="F114" s="63">
        <v>4</v>
      </c>
      <c r="G114" s="63">
        <v>0</v>
      </c>
    </row>
    <row r="115" spans="1:8" x14ac:dyDescent="0.25">
      <c r="A115" s="54" t="s">
        <v>493</v>
      </c>
      <c r="B115" s="80"/>
    </row>
    <row r="116" spans="1:8" x14ac:dyDescent="0.25">
      <c r="A116" s="19" t="s">
        <v>494</v>
      </c>
      <c r="B116" s="80">
        <v>27</v>
      </c>
      <c r="C116" s="80">
        <v>13</v>
      </c>
      <c r="D116" s="80">
        <v>-20</v>
      </c>
      <c r="E116" s="80">
        <v>48</v>
      </c>
      <c r="F116" s="80">
        <v>194</v>
      </c>
      <c r="G116" s="80">
        <v>464</v>
      </c>
    </row>
    <row r="117" spans="1:8" x14ac:dyDescent="0.25">
      <c r="A117" s="19" t="s">
        <v>495</v>
      </c>
      <c r="B117" s="80">
        <v>47</v>
      </c>
      <c r="C117" s="80">
        <v>70</v>
      </c>
      <c r="D117" s="80">
        <v>35</v>
      </c>
      <c r="E117" s="80">
        <v>54</v>
      </c>
      <c r="F117" s="80">
        <v>103</v>
      </c>
      <c r="G117" s="80">
        <v>119</v>
      </c>
      <c r="H117" s="83"/>
    </row>
    <row r="118" spans="1:8" x14ac:dyDescent="0.25">
      <c r="A118" s="19" t="s">
        <v>496</v>
      </c>
      <c r="B118" s="19">
        <v>0</v>
      </c>
      <c r="C118" s="80">
        <v>1</v>
      </c>
      <c r="D118" s="80">
        <v>-17</v>
      </c>
      <c r="E118" s="80">
        <v>6</v>
      </c>
      <c r="F118" s="80">
        <v>163</v>
      </c>
      <c r="G118" s="80">
        <v>145</v>
      </c>
    </row>
    <row r="119" spans="1:8" x14ac:dyDescent="0.25">
      <c r="A119" s="19" t="s">
        <v>497</v>
      </c>
      <c r="B119" s="19">
        <v>63</v>
      </c>
      <c r="C119" s="19">
        <v>17</v>
      </c>
      <c r="D119" s="19">
        <v>-6</v>
      </c>
      <c r="E119" s="19">
        <v>57</v>
      </c>
      <c r="F119" s="19">
        <v>21</v>
      </c>
      <c r="G119" s="19">
        <v>19</v>
      </c>
      <c r="H119" s="83"/>
    </row>
    <row r="120" spans="1:8" x14ac:dyDescent="0.25">
      <c r="A120" s="19" t="s">
        <v>498</v>
      </c>
      <c r="B120" s="80">
        <v>-38</v>
      </c>
      <c r="C120" s="80">
        <v>-917</v>
      </c>
      <c r="D120" s="80">
        <v>124</v>
      </c>
      <c r="E120" s="80">
        <v>-98</v>
      </c>
      <c r="F120" s="80">
        <v>0</v>
      </c>
      <c r="G120" s="80">
        <v>0</v>
      </c>
    </row>
    <row r="121" spans="1:8" x14ac:dyDescent="0.25">
      <c r="A121" s="19" t="s">
        <v>499</v>
      </c>
      <c r="B121" s="80">
        <v>-26</v>
      </c>
      <c r="C121" s="80">
        <v>-44</v>
      </c>
      <c r="D121" s="80">
        <v>2</v>
      </c>
      <c r="E121" s="80">
        <v>-420</v>
      </c>
      <c r="F121" s="80">
        <v>15</v>
      </c>
      <c r="G121" s="80">
        <v>0</v>
      </c>
      <c r="H121" s="104"/>
    </row>
    <row r="122" spans="1:8" x14ac:dyDescent="0.25">
      <c r="A122" s="19" t="s">
        <v>500</v>
      </c>
      <c r="B122" s="63">
        <v>210</v>
      </c>
      <c r="C122" s="63">
        <v>62</v>
      </c>
      <c r="D122" s="63">
        <v>0</v>
      </c>
      <c r="E122" s="63">
        <v>0</v>
      </c>
      <c r="F122" s="63">
        <v>0</v>
      </c>
      <c r="G122" s="63">
        <v>0</v>
      </c>
    </row>
    <row r="123" spans="1:8" x14ac:dyDescent="0.25">
      <c r="B123" s="83"/>
      <c r="C123" s="83"/>
      <c r="D123" s="83"/>
      <c r="E123" s="83"/>
      <c r="F123" s="83"/>
      <c r="G123" s="83"/>
    </row>
    <row r="124" spans="1:8" x14ac:dyDescent="0.25">
      <c r="A124" s="19" t="s">
        <v>501</v>
      </c>
      <c r="B124" s="60">
        <v>1099.7547169811321</v>
      </c>
      <c r="C124" s="60">
        <v>847</v>
      </c>
      <c r="D124" s="60">
        <v>3540</v>
      </c>
      <c r="E124" s="60">
        <v>1575</v>
      </c>
      <c r="F124" s="60">
        <v>16475</v>
      </c>
      <c r="G124" s="60">
        <v>796</v>
      </c>
    </row>
    <row r="125" spans="1:8" x14ac:dyDescent="0.25">
      <c r="A125" s="19" t="s">
        <v>502</v>
      </c>
      <c r="B125" s="19">
        <v>-274.93867924528303</v>
      </c>
      <c r="C125" s="19">
        <v>-211.75</v>
      </c>
      <c r="D125" s="19">
        <v>-885</v>
      </c>
      <c r="E125" s="19">
        <v>-393.75</v>
      </c>
      <c r="F125" s="19">
        <v>-4118.75</v>
      </c>
      <c r="G125" s="19">
        <v>-199</v>
      </c>
    </row>
    <row r="126" spans="1:8" x14ac:dyDescent="0.25">
      <c r="A126" s="19" t="s">
        <v>399</v>
      </c>
      <c r="B126" s="80">
        <v>824.81603773584902</v>
      </c>
      <c r="C126" s="80">
        <v>635.25</v>
      </c>
      <c r="D126" s="80">
        <v>2655</v>
      </c>
      <c r="E126" s="80">
        <v>1181.25</v>
      </c>
      <c r="F126" s="80">
        <v>12356.25</v>
      </c>
      <c r="G126" s="80">
        <v>597</v>
      </c>
    </row>
    <row r="127" spans="1:8" x14ac:dyDescent="0.25">
      <c r="A127" s="19" t="s">
        <v>503</v>
      </c>
      <c r="B127" s="63">
        <v>-357.5</v>
      </c>
      <c r="C127" s="63">
        <v>257</v>
      </c>
      <c r="D127" s="63">
        <v>411.5</v>
      </c>
      <c r="E127" s="63">
        <v>62.75</v>
      </c>
      <c r="F127" s="63">
        <v>1763.25</v>
      </c>
      <c r="G127" s="63">
        <v>-6844.5</v>
      </c>
    </row>
    <row r="128" spans="1:8" x14ac:dyDescent="0.25">
      <c r="A128" s="19" t="s">
        <v>400</v>
      </c>
      <c r="B128" s="55">
        <v>467.31603773584902</v>
      </c>
      <c r="C128" s="55">
        <v>892.25</v>
      </c>
      <c r="D128" s="55">
        <v>3066.5</v>
      </c>
      <c r="E128" s="55">
        <v>1244</v>
      </c>
      <c r="F128" s="55">
        <v>14119.5</v>
      </c>
      <c r="G128" s="55">
        <v>-6247.5</v>
      </c>
    </row>
    <row r="129" spans="1:8" ht="15.75" thickBot="1" x14ac:dyDescent="0.3">
      <c r="A129" s="19" t="s">
        <v>205</v>
      </c>
      <c r="B129" s="74">
        <v>2830.316037735849</v>
      </c>
      <c r="C129" s="74">
        <v>1904.25</v>
      </c>
      <c r="D129" s="74">
        <v>3422.5</v>
      </c>
      <c r="E129" s="74">
        <v>3179</v>
      </c>
      <c r="F129" s="74">
        <v>3927.5</v>
      </c>
      <c r="G129" s="74">
        <v>4693.5</v>
      </c>
      <c r="H129" s="110">
        <v>-9.6209812184919447E-2</v>
      </c>
    </row>
    <row r="130" spans="1:8" ht="15.75" thickTop="1" x14ac:dyDescent="0.25"/>
    <row r="131" spans="1:8" x14ac:dyDescent="0.25">
      <c r="A131" s="19" t="s">
        <v>504</v>
      </c>
      <c r="B131" s="24">
        <v>1.9133603238866397</v>
      </c>
      <c r="C131" s="24">
        <v>0.81877022653721687</v>
      </c>
      <c r="D131" s="24">
        <v>0.28990228013029318</v>
      </c>
      <c r="E131" s="24">
        <v>1.5808823529411764</v>
      </c>
      <c r="F131" s="24">
        <v>-8.3609515996718624</v>
      </c>
      <c r="G131" s="24">
        <v>8.9096091205211732</v>
      </c>
    </row>
    <row r="132" spans="1:8" x14ac:dyDescent="0.25">
      <c r="A132" s="19" t="s">
        <v>505</v>
      </c>
      <c r="B132" s="107">
        <v>0.37839355282254994</v>
      </c>
      <c r="C132" s="107">
        <v>0.72188511326860827</v>
      </c>
      <c r="D132" s="107">
        <v>2.4971498371335503</v>
      </c>
      <c r="E132" s="107">
        <v>1.0163398692810459</v>
      </c>
      <c r="F132" s="107">
        <v>11.582854799015587</v>
      </c>
      <c r="G132" s="107">
        <v>-5.0875407166123789</v>
      </c>
    </row>
    <row r="133" spans="1:8" ht="15.75" thickBot="1" x14ac:dyDescent="0.3">
      <c r="A133" s="19" t="s">
        <v>401</v>
      </c>
      <c r="B133" s="108">
        <v>2.2917538767091896</v>
      </c>
      <c r="C133" s="108">
        <v>1.5406553398058251</v>
      </c>
      <c r="D133" s="108">
        <v>2.7870521172638436</v>
      </c>
      <c r="E133" s="108">
        <v>2.5972222222222223</v>
      </c>
      <c r="F133" s="108">
        <v>3.2219031993437244</v>
      </c>
      <c r="G133" s="108">
        <v>3.8220684039087947</v>
      </c>
      <c r="H133" s="110">
        <v>-9.7236682442660857E-2</v>
      </c>
    </row>
    <row r="134" spans="1:8" ht="15.75" thickTop="1" x14ac:dyDescent="0.25"/>
    <row r="135" spans="1:8" x14ac:dyDescent="0.25">
      <c r="A135" s="19" t="s">
        <v>506</v>
      </c>
      <c r="B135" s="83">
        <v>0.20161834120026972</v>
      </c>
      <c r="C135" s="83">
        <v>0.40046838407494145</v>
      </c>
      <c r="D135" s="83">
        <v>0.64951456310679612</v>
      </c>
      <c r="E135" s="83">
        <v>0.27358136039083053</v>
      </c>
      <c r="F135" s="83">
        <v>9.4249624591467185E-2</v>
      </c>
      <c r="G135" s="83">
        <v>-1.0058715596330274</v>
      </c>
    </row>
    <row r="136" spans="1:8" x14ac:dyDescent="0.25">
      <c r="A136" s="19" t="s">
        <v>507</v>
      </c>
      <c r="B136" s="84">
        <v>0.25</v>
      </c>
      <c r="C136" s="84">
        <v>0.25</v>
      </c>
      <c r="D136" s="84">
        <v>0.25</v>
      </c>
      <c r="E136" s="84">
        <v>0.25</v>
      </c>
      <c r="F136" s="84">
        <v>0.25</v>
      </c>
      <c r="G136" s="84">
        <v>0.25</v>
      </c>
    </row>
    <row r="137" spans="1:8" x14ac:dyDescent="0.25">
      <c r="A137" s="19" t="s">
        <v>508</v>
      </c>
      <c r="B137" s="60">
        <v>811.5</v>
      </c>
      <c r="C137" s="60">
        <v>427</v>
      </c>
      <c r="D137" s="60">
        <v>257.5</v>
      </c>
      <c r="E137" s="60">
        <v>665.25</v>
      </c>
      <c r="F137" s="60">
        <v>-2830.25</v>
      </c>
      <c r="G137" s="60">
        <v>1362.5</v>
      </c>
    </row>
    <row r="138" spans="1:8" x14ac:dyDescent="0.25">
      <c r="A138" s="19" t="s">
        <v>509</v>
      </c>
      <c r="B138" s="19">
        <v>454</v>
      </c>
      <c r="C138" s="19">
        <v>684</v>
      </c>
      <c r="D138" s="19">
        <v>669</v>
      </c>
      <c r="E138" s="19">
        <v>728</v>
      </c>
      <c r="F138" s="19">
        <v>-1067</v>
      </c>
      <c r="G138" s="19">
        <v>-5482</v>
      </c>
    </row>
    <row r="139" spans="1:8" ht="15.75" thickBot="1" x14ac:dyDescent="0.3">
      <c r="A139" s="19" t="s">
        <v>207</v>
      </c>
      <c r="B139" s="74">
        <v>-357.5</v>
      </c>
      <c r="C139" s="74">
        <v>257</v>
      </c>
      <c r="D139" s="74">
        <v>411.5</v>
      </c>
      <c r="E139" s="74">
        <v>62.75</v>
      </c>
      <c r="F139" s="74">
        <v>1763.25</v>
      </c>
      <c r="G139" s="74">
        <v>-6844.5</v>
      </c>
    </row>
    <row r="140" spans="1:8" ht="15.75" thickTop="1" x14ac:dyDescent="0.25"/>
    <row r="141" spans="1:8" x14ac:dyDescent="0.25">
      <c r="A141" s="19" t="s">
        <v>108</v>
      </c>
      <c r="B141" s="19">
        <v>1243</v>
      </c>
      <c r="C141" s="19">
        <v>1235</v>
      </c>
      <c r="D141" s="19">
        <v>1228</v>
      </c>
      <c r="E141" s="19">
        <v>1224</v>
      </c>
      <c r="F141" s="19">
        <v>1224</v>
      </c>
      <c r="G141" s="19">
        <v>1221</v>
      </c>
    </row>
    <row r="142" spans="1:8" x14ac:dyDescent="0.25">
      <c r="A142" s="19" t="s">
        <v>109</v>
      </c>
      <c r="B142" s="19">
        <v>-18</v>
      </c>
      <c r="C142" s="19">
        <v>-11</v>
      </c>
      <c r="D142" s="19">
        <v>-5</v>
      </c>
      <c r="E142" s="19">
        <v>-3</v>
      </c>
      <c r="F142" s="19">
        <v>-4</v>
      </c>
      <c r="G142" s="19">
        <v>-2</v>
      </c>
    </row>
    <row r="143" spans="1:8" ht="15.75" thickBot="1" x14ac:dyDescent="0.3">
      <c r="A143" s="19" t="s">
        <v>110</v>
      </c>
      <c r="B143" s="87">
        <v>1225</v>
      </c>
      <c r="C143" s="87">
        <v>1224</v>
      </c>
      <c r="D143" s="87">
        <v>1223</v>
      </c>
      <c r="E143" s="87">
        <v>1221</v>
      </c>
      <c r="F143" s="87">
        <v>1220</v>
      </c>
      <c r="G143" s="87">
        <v>1219</v>
      </c>
    </row>
    <row r="144" spans="1:8" ht="15.75" thickTop="1" x14ac:dyDescent="0.25">
      <c r="A144" s="19" t="s">
        <v>273</v>
      </c>
      <c r="B144" s="60">
        <v>38.130000000000003</v>
      </c>
      <c r="C144" s="60">
        <v>39.22</v>
      </c>
      <c r="D144" s="60">
        <v>36.380000000000003</v>
      </c>
      <c r="E144" s="60">
        <v>24.77</v>
      </c>
      <c r="F144" s="60">
        <v>33.19</v>
      </c>
      <c r="G144" s="60">
        <v>67.14</v>
      </c>
      <c r="H144" s="110">
        <v>-0.10698841363458024</v>
      </c>
    </row>
    <row r="145" spans="1:8" x14ac:dyDescent="0.25">
      <c r="A145" s="19" t="s">
        <v>111</v>
      </c>
      <c r="B145" s="60">
        <v>46709.25</v>
      </c>
      <c r="C145" s="60">
        <v>48005.279999999999</v>
      </c>
      <c r="D145" s="60">
        <v>44492.740000000005</v>
      </c>
      <c r="E145" s="60">
        <v>30244.17</v>
      </c>
      <c r="F145" s="60">
        <v>40491.799999999996</v>
      </c>
      <c r="G145" s="60">
        <v>81843.66</v>
      </c>
    </row>
    <row r="147" spans="1:8" s="53" customFormat="1" x14ac:dyDescent="0.25">
      <c r="A147" s="66" t="str">
        <f>+A1</f>
        <v>Kraft Heinz Company</v>
      </c>
      <c r="B147" s="66" t="str">
        <f>+B1</f>
        <v>Reclassified</v>
      </c>
      <c r="C147" s="66"/>
      <c r="D147" s="66"/>
      <c r="E147" s="66"/>
      <c r="F147" s="66"/>
      <c r="G147" s="66"/>
      <c r="H147" s="66"/>
    </row>
    <row r="148" spans="1:8" s="53" customFormat="1" x14ac:dyDescent="0.25">
      <c r="A148" s="66" t="s">
        <v>134</v>
      </c>
      <c r="B148" s="66"/>
      <c r="C148" s="66"/>
      <c r="D148" s="66"/>
      <c r="E148" s="66"/>
      <c r="F148" s="66"/>
      <c r="G148" s="66"/>
      <c r="H148" s="66"/>
    </row>
    <row r="149" spans="1:8" s="53" customFormat="1" x14ac:dyDescent="0.25">
      <c r="A149" s="66" t="str">
        <f>+A3</f>
        <v>in millions except per share data</v>
      </c>
      <c r="B149" s="66"/>
      <c r="C149" s="66"/>
      <c r="D149" s="66"/>
      <c r="E149" s="66"/>
      <c r="F149" s="66" t="s">
        <v>262</v>
      </c>
      <c r="G149" s="72" t="s">
        <v>66</v>
      </c>
      <c r="H149" s="67"/>
    </row>
    <row r="150" spans="1:8" s="53" customFormat="1" ht="15.75" thickBot="1" x14ac:dyDescent="0.3">
      <c r="A150" s="67" t="str">
        <f>+A4</f>
        <v>Year ended near 12/31:</v>
      </c>
      <c r="B150" s="69">
        <v>2022</v>
      </c>
      <c r="C150" s="69">
        <v>2021</v>
      </c>
      <c r="D150" s="69">
        <v>2020</v>
      </c>
      <c r="E150" s="69">
        <v>2019</v>
      </c>
      <c r="F150" s="69">
        <v>2018</v>
      </c>
      <c r="G150" s="69">
        <v>2017</v>
      </c>
      <c r="H150" s="69" t="s">
        <v>275</v>
      </c>
    </row>
    <row r="151" spans="1:8" x14ac:dyDescent="0.25">
      <c r="A151" s="19" t="s">
        <v>293</v>
      </c>
      <c r="B151" s="60">
        <f>+'As Reported'!B68</f>
        <v>2368</v>
      </c>
      <c r="C151" s="60">
        <f>+'As Reported'!C68</f>
        <v>1024</v>
      </c>
      <c r="D151" s="60">
        <f>+'As Reported'!D68</f>
        <v>361</v>
      </c>
      <c r="E151" s="60">
        <f>+'As Reported'!E68</f>
        <v>1933</v>
      </c>
      <c r="F151" s="60">
        <f>+'As Reported'!F68</f>
        <v>-10254</v>
      </c>
      <c r="G151" s="60">
        <f>+'As Reported'!G68</f>
        <v>10932</v>
      </c>
      <c r="H151" s="60">
        <f>SUM(B151:G151)</f>
        <v>6364</v>
      </c>
    </row>
    <row r="152" spans="1:8" x14ac:dyDescent="0.25">
      <c r="A152" s="54" t="s">
        <v>137</v>
      </c>
      <c r="B152" s="19">
        <v>933</v>
      </c>
      <c r="C152" s="19">
        <v>910</v>
      </c>
      <c r="D152" s="19">
        <v>969</v>
      </c>
      <c r="E152" s="19">
        <v>994</v>
      </c>
      <c r="F152" s="19">
        <v>983</v>
      </c>
      <c r="G152" s="19">
        <v>1031</v>
      </c>
      <c r="H152" s="19">
        <f>SUM(B152:G152)</f>
        <v>5820</v>
      </c>
    </row>
    <row r="153" spans="1:8" x14ac:dyDescent="0.25">
      <c r="A153" s="54" t="s">
        <v>138</v>
      </c>
      <c r="B153" s="19">
        <v>-14</v>
      </c>
      <c r="C153" s="19">
        <v>-7</v>
      </c>
      <c r="D153" s="19">
        <v>-122</v>
      </c>
      <c r="E153" s="19">
        <v>-306</v>
      </c>
      <c r="F153" s="19">
        <v>-339</v>
      </c>
      <c r="G153" s="19">
        <v>-328</v>
      </c>
      <c r="H153" s="19">
        <f t="shared" ref="H153:H171" si="46">SUM(B153:G153)</f>
        <v>-1116</v>
      </c>
    </row>
    <row r="154" spans="1:8" x14ac:dyDescent="0.25">
      <c r="A154" s="54" t="s">
        <v>294</v>
      </c>
      <c r="B154" s="19">
        <v>-56</v>
      </c>
      <c r="C154" s="19">
        <v>-4</v>
      </c>
      <c r="D154" s="19">
        <v>0</v>
      </c>
      <c r="E154" s="19">
        <v>0</v>
      </c>
      <c r="F154" s="19">
        <v>0</v>
      </c>
      <c r="G154" s="19">
        <v>0</v>
      </c>
      <c r="H154" s="19">
        <f t="shared" si="46"/>
        <v>-60</v>
      </c>
    </row>
    <row r="155" spans="1:8" x14ac:dyDescent="0.25">
      <c r="A155" s="54" t="s">
        <v>142</v>
      </c>
      <c r="B155" s="19">
        <v>148</v>
      </c>
      <c r="C155" s="19">
        <v>197</v>
      </c>
      <c r="D155" s="19">
        <v>156</v>
      </c>
      <c r="E155" s="19">
        <v>46</v>
      </c>
      <c r="F155" s="19">
        <v>33</v>
      </c>
      <c r="G155" s="19">
        <v>46</v>
      </c>
      <c r="H155" s="19">
        <f t="shared" si="46"/>
        <v>626</v>
      </c>
    </row>
    <row r="156" spans="1:8" x14ac:dyDescent="0.25">
      <c r="A156" s="54" t="s">
        <v>93</v>
      </c>
      <c r="B156" s="19">
        <v>-278</v>
      </c>
      <c r="C156" s="19">
        <v>-1042</v>
      </c>
      <c r="D156" s="19">
        <v>-343</v>
      </c>
      <c r="E156" s="19">
        <v>-293</v>
      </c>
      <c r="F156" s="19">
        <v>-1967</v>
      </c>
      <c r="G156" s="19">
        <v>-6495</v>
      </c>
      <c r="H156" s="19">
        <f t="shared" si="46"/>
        <v>-10418</v>
      </c>
    </row>
    <row r="157" spans="1:8" x14ac:dyDescent="0.25">
      <c r="A157" s="54" t="s">
        <v>143</v>
      </c>
      <c r="B157" s="19">
        <v>-23</v>
      </c>
      <c r="C157" s="19">
        <v>-27</v>
      </c>
      <c r="D157" s="19">
        <v>-27</v>
      </c>
      <c r="E157" s="19">
        <v>-32</v>
      </c>
      <c r="F157" s="19">
        <v>-76</v>
      </c>
      <c r="G157" s="19">
        <v>-1659</v>
      </c>
      <c r="H157" s="19">
        <f t="shared" si="46"/>
        <v>-1844</v>
      </c>
    </row>
    <row r="158" spans="1:8" x14ac:dyDescent="0.25">
      <c r="A158" s="54" t="s">
        <v>144</v>
      </c>
      <c r="B158" s="19">
        <v>913</v>
      </c>
      <c r="C158" s="19">
        <v>1634</v>
      </c>
      <c r="D158" s="19">
        <v>3399</v>
      </c>
      <c r="E158" s="19">
        <v>1899</v>
      </c>
      <c r="F158" s="19">
        <v>15936</v>
      </c>
      <c r="G158" s="19">
        <v>49</v>
      </c>
      <c r="H158" s="19">
        <f t="shared" si="46"/>
        <v>23830</v>
      </c>
    </row>
    <row r="159" spans="1:8" x14ac:dyDescent="0.25">
      <c r="A159" s="54" t="s">
        <v>145</v>
      </c>
      <c r="B159" s="19">
        <v>17</v>
      </c>
      <c r="C159" s="19">
        <v>0</v>
      </c>
      <c r="D159" s="19">
        <v>6</v>
      </c>
      <c r="E159" s="19">
        <v>10</v>
      </c>
      <c r="F159" s="19">
        <v>146</v>
      </c>
      <c r="G159" s="19">
        <v>36</v>
      </c>
      <c r="H159" s="19">
        <f t="shared" si="46"/>
        <v>215</v>
      </c>
    </row>
    <row r="160" spans="1:8" x14ac:dyDescent="0.25">
      <c r="A160" s="54" t="s">
        <v>147</v>
      </c>
      <c r="B160" s="19">
        <v>-25</v>
      </c>
      <c r="C160" s="19">
        <v>-44</v>
      </c>
      <c r="D160" s="19">
        <v>2</v>
      </c>
      <c r="E160" s="19">
        <v>-420</v>
      </c>
      <c r="F160" s="19">
        <v>15</v>
      </c>
      <c r="G160" s="19">
        <v>0</v>
      </c>
      <c r="H160" s="19">
        <f t="shared" si="46"/>
        <v>-472</v>
      </c>
    </row>
    <row r="161" spans="1:8" x14ac:dyDescent="0.25">
      <c r="A161" s="54" t="s">
        <v>295</v>
      </c>
      <c r="B161" s="19">
        <v>0</v>
      </c>
      <c r="C161" s="19">
        <v>1587</v>
      </c>
      <c r="D161" s="19">
        <v>0</v>
      </c>
      <c r="E161" s="19">
        <v>0</v>
      </c>
      <c r="F161" s="19">
        <v>0</v>
      </c>
      <c r="G161" s="19">
        <v>0</v>
      </c>
      <c r="H161" s="19">
        <f t="shared" si="46"/>
        <v>1587</v>
      </c>
    </row>
    <row r="162" spans="1:8" x14ac:dyDescent="0.25">
      <c r="A162" s="54" t="s">
        <v>149</v>
      </c>
      <c r="B162" s="19">
        <v>-38</v>
      </c>
      <c r="C162" s="19">
        <v>917</v>
      </c>
      <c r="D162" s="19">
        <v>124</v>
      </c>
      <c r="E162" s="19">
        <v>0</v>
      </c>
      <c r="F162" s="19">
        <v>0</v>
      </c>
      <c r="G162" s="19">
        <v>0</v>
      </c>
      <c r="H162" s="19">
        <f t="shared" si="46"/>
        <v>1003</v>
      </c>
    </row>
    <row r="163" spans="1:8" x14ac:dyDescent="0.25">
      <c r="A163" s="54" t="s">
        <v>150</v>
      </c>
      <c r="B163" s="19">
        <v>7</v>
      </c>
      <c r="C163" s="19">
        <v>-187</v>
      </c>
      <c r="D163" s="19">
        <v>-54</v>
      </c>
      <c r="E163" s="19">
        <v>-46</v>
      </c>
      <c r="F163" s="19">
        <v>160</v>
      </c>
      <c r="G163" s="19">
        <v>253</v>
      </c>
      <c r="H163" s="19">
        <f t="shared" si="46"/>
        <v>133</v>
      </c>
    </row>
    <row r="164" spans="1:8" x14ac:dyDescent="0.25">
      <c r="A164" s="88" t="s">
        <v>151</v>
      </c>
      <c r="B164" s="89">
        <f>SUM(B151:B163)</f>
        <v>3952</v>
      </c>
      <c r="C164" s="89">
        <f t="shared" ref="C164:G164" si="47">SUM(C151:C163)</f>
        <v>4958</v>
      </c>
      <c r="D164" s="89">
        <f t="shared" si="47"/>
        <v>4471</v>
      </c>
      <c r="E164" s="89">
        <f t="shared" si="47"/>
        <v>3785</v>
      </c>
      <c r="F164" s="89">
        <f t="shared" si="47"/>
        <v>4637</v>
      </c>
      <c r="G164" s="89">
        <f t="shared" si="47"/>
        <v>3865</v>
      </c>
      <c r="H164" s="89">
        <f t="shared" si="46"/>
        <v>25668</v>
      </c>
    </row>
    <row r="165" spans="1:8" x14ac:dyDescent="0.25">
      <c r="A165" s="19" t="s">
        <v>152</v>
      </c>
      <c r="H165" s="19">
        <f t="shared" si="46"/>
        <v>0</v>
      </c>
    </row>
    <row r="166" spans="1:8" x14ac:dyDescent="0.25">
      <c r="A166" s="54" t="s">
        <v>18</v>
      </c>
      <c r="B166" s="19">
        <v>-228</v>
      </c>
      <c r="C166" s="19">
        <v>87</v>
      </c>
      <c r="D166" s="19">
        <v>-26</v>
      </c>
      <c r="E166" s="19">
        <v>140</v>
      </c>
      <c r="F166" s="19">
        <v>-2280</v>
      </c>
      <c r="G166" s="19">
        <v>-2629</v>
      </c>
      <c r="H166" s="19">
        <f t="shared" si="46"/>
        <v>-4936</v>
      </c>
    </row>
    <row r="167" spans="1:8" x14ac:dyDescent="0.25">
      <c r="A167" s="54" t="s">
        <v>19</v>
      </c>
      <c r="B167" s="19">
        <v>-1121</v>
      </c>
      <c r="C167" s="19">
        <v>-144</v>
      </c>
      <c r="D167" s="19">
        <v>-249</v>
      </c>
      <c r="E167" s="19">
        <v>-277</v>
      </c>
      <c r="F167" s="19">
        <v>-251</v>
      </c>
      <c r="G167" s="19">
        <v>-236</v>
      </c>
      <c r="H167" s="19">
        <f t="shared" si="46"/>
        <v>-2278</v>
      </c>
    </row>
    <row r="168" spans="1:8" x14ac:dyDescent="0.25">
      <c r="A168" s="54" t="s">
        <v>28</v>
      </c>
      <c r="B168" s="19">
        <v>152</v>
      </c>
      <c r="C168" s="19">
        <v>408</v>
      </c>
      <c r="D168" s="19">
        <v>207</v>
      </c>
      <c r="E168" s="19">
        <v>-58</v>
      </c>
      <c r="F168" s="19">
        <v>-23</v>
      </c>
      <c r="G168" s="19">
        <v>441</v>
      </c>
      <c r="H168" s="19">
        <f t="shared" si="46"/>
        <v>1127</v>
      </c>
    </row>
    <row r="169" spans="1:8" x14ac:dyDescent="0.25">
      <c r="A169" s="54" t="s">
        <v>20</v>
      </c>
      <c r="B169" s="19">
        <v>-314</v>
      </c>
      <c r="C169" s="19">
        <v>-32</v>
      </c>
      <c r="D169" s="19">
        <v>40</v>
      </c>
      <c r="E169" s="19">
        <v>52</v>
      </c>
      <c r="F169" s="19">
        <v>-146</v>
      </c>
      <c r="G169" s="19">
        <v>-64</v>
      </c>
      <c r="H169" s="19">
        <f t="shared" si="46"/>
        <v>-464</v>
      </c>
    </row>
    <row r="170" spans="1:8" x14ac:dyDescent="0.25">
      <c r="A170" s="54" t="s">
        <v>29</v>
      </c>
      <c r="B170" s="19">
        <v>28</v>
      </c>
      <c r="C170" s="19">
        <v>87</v>
      </c>
      <c r="D170" s="19">
        <v>486</v>
      </c>
      <c r="E170" s="19">
        <v>-90</v>
      </c>
      <c r="F170" s="19">
        <v>637</v>
      </c>
      <c r="G170" s="19">
        <v>-876</v>
      </c>
      <c r="H170" s="19">
        <f t="shared" si="46"/>
        <v>272</v>
      </c>
    </row>
    <row r="171" spans="1:8" x14ac:dyDescent="0.25">
      <c r="A171" s="19" t="s">
        <v>153</v>
      </c>
      <c r="B171" s="55">
        <f>SUM(B164:B170)</f>
        <v>2469</v>
      </c>
      <c r="C171" s="55">
        <f t="shared" ref="C171:G171" si="48">SUM(C164:C170)</f>
        <v>5364</v>
      </c>
      <c r="D171" s="55">
        <f t="shared" si="48"/>
        <v>4929</v>
      </c>
      <c r="E171" s="55">
        <f t="shared" si="48"/>
        <v>3552</v>
      </c>
      <c r="F171" s="55">
        <f t="shared" si="48"/>
        <v>2574</v>
      </c>
      <c r="G171" s="55">
        <f t="shared" si="48"/>
        <v>501</v>
      </c>
      <c r="H171" s="55">
        <f t="shared" si="46"/>
        <v>19389</v>
      </c>
    </row>
    <row r="172" spans="1:8" x14ac:dyDescent="0.25">
      <c r="A172" s="19" t="s">
        <v>296</v>
      </c>
      <c r="B172" s="80"/>
      <c r="C172" s="80"/>
      <c r="D172" s="80"/>
      <c r="E172" s="80"/>
      <c r="F172" s="80"/>
      <c r="G172" s="80"/>
      <c r="H172" s="80"/>
    </row>
    <row r="173" spans="1:8" x14ac:dyDescent="0.25">
      <c r="A173" s="54" t="s">
        <v>297</v>
      </c>
      <c r="B173" s="85">
        <f t="shared" ref="B173:G173" si="49">+B60+B166</f>
        <v>26257</v>
      </c>
      <c r="C173" s="85">
        <f t="shared" si="49"/>
        <v>26129</v>
      </c>
      <c r="D173" s="85">
        <f t="shared" si="49"/>
        <v>26159</v>
      </c>
      <c r="E173" s="85">
        <f t="shared" si="49"/>
        <v>25117</v>
      </c>
      <c r="F173" s="85">
        <f t="shared" si="49"/>
        <v>23988</v>
      </c>
      <c r="G173" s="85">
        <f t="shared" si="49"/>
        <v>23447</v>
      </c>
      <c r="H173" s="85">
        <f>SUM(B173:G173)</f>
        <v>151097</v>
      </c>
    </row>
    <row r="174" spans="1:8" x14ac:dyDescent="0.25">
      <c r="A174" s="54" t="s">
        <v>298</v>
      </c>
      <c r="B174" s="80">
        <f t="shared" ref="B174:G174" si="50">-B61+B167+B168</f>
        <v>-19332</v>
      </c>
      <c r="C174" s="80">
        <f t="shared" si="50"/>
        <v>-17096</v>
      </c>
      <c r="D174" s="80">
        <f t="shared" si="50"/>
        <v>-17050</v>
      </c>
      <c r="E174" s="80">
        <f t="shared" si="50"/>
        <v>-17165</v>
      </c>
      <c r="F174" s="80">
        <f t="shared" si="50"/>
        <v>-17621</v>
      </c>
      <c r="G174" s="80">
        <f t="shared" si="50"/>
        <v>-16838</v>
      </c>
      <c r="H174" s="80">
        <f t="shared" ref="H174:H204" si="51">SUM(B174:G174)</f>
        <v>-105102</v>
      </c>
    </row>
    <row r="175" spans="1:8" x14ac:dyDescent="0.25">
      <c r="A175" s="54" t="s">
        <v>299</v>
      </c>
      <c r="B175" s="57">
        <f>+B173+B174</f>
        <v>6925</v>
      </c>
      <c r="C175" s="57">
        <f t="shared" ref="C175:G175" si="52">+C173+C174</f>
        <v>9033</v>
      </c>
      <c r="D175" s="57">
        <f t="shared" si="52"/>
        <v>9109</v>
      </c>
      <c r="E175" s="57">
        <f t="shared" si="52"/>
        <v>7952</v>
      </c>
      <c r="F175" s="57">
        <f t="shared" si="52"/>
        <v>6367</v>
      </c>
      <c r="G175" s="57">
        <f t="shared" si="52"/>
        <v>6609</v>
      </c>
      <c r="H175" s="57">
        <f t="shared" si="51"/>
        <v>45995</v>
      </c>
    </row>
    <row r="176" spans="1:8" x14ac:dyDescent="0.25">
      <c r="A176" s="54" t="s">
        <v>300</v>
      </c>
      <c r="B176" s="80">
        <f t="shared" ref="B176:G177" si="53">-B209</f>
        <v>-937</v>
      </c>
      <c r="C176" s="80">
        <f t="shared" si="53"/>
        <v>-1196</v>
      </c>
      <c r="D176" s="80">
        <f t="shared" si="53"/>
        <v>-1286</v>
      </c>
      <c r="E176" s="80">
        <f t="shared" si="53"/>
        <v>-1306</v>
      </c>
      <c r="F176" s="80">
        <f t="shared" si="53"/>
        <v>-1322</v>
      </c>
      <c r="G176" s="80">
        <f t="shared" si="53"/>
        <v>-1269</v>
      </c>
      <c r="H176" s="80">
        <f t="shared" si="51"/>
        <v>-7316</v>
      </c>
    </row>
    <row r="177" spans="1:8" x14ac:dyDescent="0.25">
      <c r="A177" s="54" t="s">
        <v>301</v>
      </c>
      <c r="B177" s="80">
        <f t="shared" si="53"/>
        <v>-1260</v>
      </c>
      <c r="C177" s="80">
        <f t="shared" si="53"/>
        <v>-1295</v>
      </c>
      <c r="D177" s="80">
        <f t="shared" si="53"/>
        <v>-1027</v>
      </c>
      <c r="E177" s="80">
        <f t="shared" si="53"/>
        <v>-974</v>
      </c>
      <c r="F177" s="80">
        <f t="shared" si="53"/>
        <v>-543</v>
      </c>
      <c r="G177" s="80">
        <f t="shared" si="53"/>
        <v>-1206</v>
      </c>
      <c r="H177" s="80">
        <f t="shared" si="51"/>
        <v>-6305</v>
      </c>
    </row>
    <row r="178" spans="1:8" x14ac:dyDescent="0.25">
      <c r="A178" s="54" t="s">
        <v>302</v>
      </c>
      <c r="B178" s="80">
        <f>+B161</f>
        <v>0</v>
      </c>
      <c r="C178" s="80">
        <f t="shared" ref="C178:G178" si="54">+C161</f>
        <v>1587</v>
      </c>
      <c r="D178" s="80">
        <f t="shared" si="54"/>
        <v>0</v>
      </c>
      <c r="E178" s="80">
        <f t="shared" si="54"/>
        <v>0</v>
      </c>
      <c r="F178" s="80">
        <f t="shared" si="54"/>
        <v>0</v>
      </c>
      <c r="G178" s="80">
        <f t="shared" si="54"/>
        <v>0</v>
      </c>
      <c r="H178" s="80">
        <f t="shared" si="51"/>
        <v>1587</v>
      </c>
    </row>
    <row r="179" spans="1:8" x14ac:dyDescent="0.25">
      <c r="A179" s="54" t="s">
        <v>143</v>
      </c>
      <c r="B179" s="80">
        <f>+B157</f>
        <v>-23</v>
      </c>
      <c r="C179" s="80">
        <f t="shared" ref="C179:G179" si="55">+C157</f>
        <v>-27</v>
      </c>
      <c r="D179" s="80">
        <f t="shared" si="55"/>
        <v>-27</v>
      </c>
      <c r="E179" s="80">
        <f t="shared" si="55"/>
        <v>-32</v>
      </c>
      <c r="F179" s="80">
        <f t="shared" si="55"/>
        <v>-76</v>
      </c>
      <c r="G179" s="80">
        <f t="shared" si="55"/>
        <v>-1659</v>
      </c>
      <c r="H179" s="80">
        <f t="shared" si="51"/>
        <v>-1844</v>
      </c>
    </row>
    <row r="180" spans="1:8" x14ac:dyDescent="0.25">
      <c r="A180" s="54" t="s">
        <v>303</v>
      </c>
      <c r="B180" s="80">
        <f>-B211</f>
        <v>-173</v>
      </c>
      <c r="C180" s="80">
        <f t="shared" ref="C180:G180" si="56">-C211</f>
        <v>-176</v>
      </c>
      <c r="D180" s="80">
        <f t="shared" si="56"/>
        <v>-173</v>
      </c>
      <c r="E180" s="80">
        <f t="shared" si="56"/>
        <v>-191</v>
      </c>
      <c r="F180" s="80">
        <f t="shared" si="56"/>
        <v>-200</v>
      </c>
      <c r="G180" s="80">
        <f t="shared" si="56"/>
        <v>-244</v>
      </c>
      <c r="H180" s="80">
        <f t="shared" si="51"/>
        <v>-1157</v>
      </c>
    </row>
    <row r="181" spans="1:8" x14ac:dyDescent="0.25">
      <c r="A181" s="54" t="s">
        <v>304</v>
      </c>
      <c r="B181" s="80">
        <f t="shared" ref="B181:G181" si="57">+B182-SUM(B175:B180)</f>
        <v>-2063</v>
      </c>
      <c r="C181" s="80">
        <f t="shared" si="57"/>
        <v>-2562</v>
      </c>
      <c r="D181" s="80">
        <f t="shared" si="57"/>
        <v>-1667</v>
      </c>
      <c r="E181" s="80">
        <f t="shared" si="57"/>
        <v>-1897</v>
      </c>
      <c r="F181" s="80">
        <f t="shared" si="57"/>
        <v>-1652</v>
      </c>
      <c r="G181" s="80">
        <f t="shared" si="57"/>
        <v>-1730</v>
      </c>
      <c r="H181" s="80">
        <f t="shared" si="51"/>
        <v>-11571</v>
      </c>
    </row>
    <row r="182" spans="1:8" x14ac:dyDescent="0.25">
      <c r="A182" s="19" t="s">
        <v>153</v>
      </c>
      <c r="B182" s="55">
        <f>+B171</f>
        <v>2469</v>
      </c>
      <c r="C182" s="55">
        <f t="shared" ref="C182:G182" si="58">+C171</f>
        <v>5364</v>
      </c>
      <c r="D182" s="55">
        <f t="shared" si="58"/>
        <v>4929</v>
      </c>
      <c r="E182" s="55">
        <f t="shared" si="58"/>
        <v>3552</v>
      </c>
      <c r="F182" s="55">
        <f t="shared" si="58"/>
        <v>2574</v>
      </c>
      <c r="G182" s="55">
        <f t="shared" si="58"/>
        <v>501</v>
      </c>
      <c r="H182" s="55">
        <f t="shared" si="51"/>
        <v>19389</v>
      </c>
    </row>
    <row r="183" spans="1:8" x14ac:dyDescent="0.25">
      <c r="A183" s="19" t="s">
        <v>154</v>
      </c>
    </row>
    <row r="184" spans="1:8" x14ac:dyDescent="0.25">
      <c r="A184" s="54" t="s">
        <v>155</v>
      </c>
      <c r="B184" s="19">
        <v>-916</v>
      </c>
      <c r="C184" s="19">
        <v>-905</v>
      </c>
      <c r="D184" s="19">
        <v>-596</v>
      </c>
      <c r="E184" s="19">
        <v>-768</v>
      </c>
      <c r="F184" s="19">
        <v>-826</v>
      </c>
      <c r="G184" s="19">
        <v>-1194</v>
      </c>
      <c r="H184" s="19">
        <f t="shared" si="51"/>
        <v>-5205</v>
      </c>
    </row>
    <row r="185" spans="1:8" x14ac:dyDescent="0.25">
      <c r="A185" s="54" t="s">
        <v>156</v>
      </c>
      <c r="B185" s="19">
        <v>0</v>
      </c>
      <c r="C185" s="19">
        <v>0</v>
      </c>
      <c r="D185" s="19">
        <v>0</v>
      </c>
      <c r="E185" s="19">
        <v>0</v>
      </c>
      <c r="F185" s="19">
        <v>1296</v>
      </c>
      <c r="G185" s="19">
        <v>2286</v>
      </c>
      <c r="H185" s="19">
        <f t="shared" si="51"/>
        <v>3582</v>
      </c>
    </row>
    <row r="186" spans="1:8" x14ac:dyDescent="0.25">
      <c r="A186" s="54" t="s">
        <v>305</v>
      </c>
      <c r="B186" s="19">
        <v>-481</v>
      </c>
      <c r="C186" s="19">
        <v>-74</v>
      </c>
      <c r="D186" s="19">
        <v>0</v>
      </c>
      <c r="E186" s="19">
        <v>-199</v>
      </c>
      <c r="F186" s="19">
        <v>-248</v>
      </c>
      <c r="G186" s="19">
        <v>0</v>
      </c>
      <c r="H186" s="19">
        <f t="shared" si="51"/>
        <v>-1002</v>
      </c>
    </row>
    <row r="187" spans="1:8" x14ac:dyDescent="0.25">
      <c r="A187" s="54" t="s">
        <v>158</v>
      </c>
      <c r="B187" s="19">
        <v>208</v>
      </c>
      <c r="C187" s="19">
        <v>-28</v>
      </c>
      <c r="D187" s="19">
        <v>25</v>
      </c>
      <c r="E187" s="19">
        <v>590</v>
      </c>
      <c r="F187" s="19">
        <v>24</v>
      </c>
      <c r="G187" s="19">
        <v>0</v>
      </c>
      <c r="H187" s="19">
        <f t="shared" si="51"/>
        <v>819</v>
      </c>
    </row>
    <row r="188" spans="1:8" x14ac:dyDescent="0.25">
      <c r="A188" s="54" t="s">
        <v>159</v>
      </c>
      <c r="B188" s="19">
        <v>88</v>
      </c>
      <c r="C188" s="19">
        <v>5014</v>
      </c>
      <c r="D188" s="19">
        <v>0</v>
      </c>
      <c r="E188" s="19">
        <v>1875</v>
      </c>
      <c r="F188" s="19">
        <v>18</v>
      </c>
      <c r="G188" s="19">
        <v>0</v>
      </c>
      <c r="H188" s="19">
        <f t="shared" si="51"/>
        <v>6995</v>
      </c>
    </row>
    <row r="189" spans="1:8" x14ac:dyDescent="0.25">
      <c r="A189" s="54" t="s">
        <v>160</v>
      </c>
      <c r="B189" s="19">
        <v>10</v>
      </c>
      <c r="C189" s="19">
        <v>31</v>
      </c>
      <c r="D189" s="19">
        <v>49</v>
      </c>
      <c r="E189" s="19">
        <v>13</v>
      </c>
      <c r="F189" s="19">
        <v>24</v>
      </c>
      <c r="G189" s="19">
        <v>85</v>
      </c>
      <c r="H189" s="19">
        <f t="shared" si="51"/>
        <v>212</v>
      </c>
    </row>
    <row r="190" spans="1:8" x14ac:dyDescent="0.25">
      <c r="A190" s="19" t="s">
        <v>161</v>
      </c>
      <c r="B190" s="55">
        <f>SUM(B184:B189)</f>
        <v>-1091</v>
      </c>
      <c r="C190" s="55">
        <f t="shared" ref="C190:G190" si="59">SUM(C184:C189)</f>
        <v>4038</v>
      </c>
      <c r="D190" s="55">
        <f t="shared" si="59"/>
        <v>-522</v>
      </c>
      <c r="E190" s="55">
        <f t="shared" si="59"/>
        <v>1511</v>
      </c>
      <c r="F190" s="55">
        <f t="shared" si="59"/>
        <v>288</v>
      </c>
      <c r="G190" s="55">
        <f t="shared" si="59"/>
        <v>1177</v>
      </c>
      <c r="H190" s="55">
        <f t="shared" si="51"/>
        <v>5401</v>
      </c>
    </row>
    <row r="191" spans="1:8" x14ac:dyDescent="0.25">
      <c r="A191" s="19" t="s">
        <v>162</v>
      </c>
    </row>
    <row r="192" spans="1:8" x14ac:dyDescent="0.25">
      <c r="A192" s="56" t="s">
        <v>163</v>
      </c>
      <c r="B192" s="19">
        <v>-1465</v>
      </c>
      <c r="C192" s="19">
        <v>-6202</v>
      </c>
      <c r="D192" s="19">
        <v>-4697</v>
      </c>
      <c r="E192" s="19">
        <v>-4795</v>
      </c>
      <c r="F192" s="19">
        <v>-2713</v>
      </c>
      <c r="G192" s="19">
        <v>-2641</v>
      </c>
      <c r="H192" s="19">
        <f t="shared" si="51"/>
        <v>-22513</v>
      </c>
    </row>
    <row r="193" spans="1:8" x14ac:dyDescent="0.25">
      <c r="A193" s="56" t="s">
        <v>164</v>
      </c>
      <c r="B193" s="19">
        <v>0</v>
      </c>
      <c r="C193" s="19">
        <v>0</v>
      </c>
      <c r="D193" s="19">
        <v>3500</v>
      </c>
      <c r="E193" s="19">
        <v>2967</v>
      </c>
      <c r="F193" s="19">
        <v>2990</v>
      </c>
      <c r="G193" s="19">
        <v>1496</v>
      </c>
      <c r="H193" s="19">
        <f t="shared" si="51"/>
        <v>10953</v>
      </c>
    </row>
    <row r="194" spans="1:8" x14ac:dyDescent="0.25">
      <c r="A194" s="56" t="s">
        <v>165</v>
      </c>
      <c r="B194" s="19">
        <v>10</v>
      </c>
      <c r="C194" s="19">
        <v>-924</v>
      </c>
      <c r="D194" s="19">
        <v>-116</v>
      </c>
      <c r="E194" s="19">
        <v>-99</v>
      </c>
      <c r="F194" s="19">
        <v>0</v>
      </c>
      <c r="G194" s="19">
        <v>0</v>
      </c>
      <c r="H194" s="19">
        <f t="shared" si="51"/>
        <v>-1129</v>
      </c>
    </row>
    <row r="195" spans="1:8" x14ac:dyDescent="0.25">
      <c r="A195" s="56" t="s">
        <v>166</v>
      </c>
      <c r="B195" s="19">
        <v>0</v>
      </c>
      <c r="C195" s="19">
        <v>0</v>
      </c>
      <c r="D195" s="19">
        <v>4000</v>
      </c>
      <c r="E195" s="19">
        <v>0</v>
      </c>
      <c r="F195" s="19">
        <v>0</v>
      </c>
      <c r="G195" s="19">
        <v>0</v>
      </c>
      <c r="H195" s="19">
        <f t="shared" si="51"/>
        <v>4000</v>
      </c>
    </row>
    <row r="196" spans="1:8" x14ac:dyDescent="0.25">
      <c r="A196" s="56" t="s">
        <v>167</v>
      </c>
      <c r="B196" s="19">
        <v>0</v>
      </c>
      <c r="C196" s="19">
        <v>0</v>
      </c>
      <c r="D196" s="19">
        <v>-4000</v>
      </c>
      <c r="E196" s="19">
        <v>0</v>
      </c>
      <c r="F196" s="19">
        <v>0</v>
      </c>
      <c r="G196" s="19">
        <v>0</v>
      </c>
      <c r="H196" s="19">
        <f t="shared" si="51"/>
        <v>-4000</v>
      </c>
    </row>
    <row r="197" spans="1:8" x14ac:dyDescent="0.25">
      <c r="A197" s="56" t="s">
        <v>168</v>
      </c>
      <c r="B197" s="19">
        <v>228</v>
      </c>
      <c r="C197" s="19">
        <v>0</v>
      </c>
      <c r="D197" s="19">
        <v>0</v>
      </c>
      <c r="E197" s="19">
        <v>557</v>
      </c>
      <c r="F197" s="19">
        <v>2784</v>
      </c>
      <c r="G197" s="19">
        <v>6043</v>
      </c>
      <c r="H197" s="19">
        <f t="shared" si="51"/>
        <v>9612</v>
      </c>
    </row>
    <row r="198" spans="1:8" x14ac:dyDescent="0.25">
      <c r="A198" s="56" t="s">
        <v>169</v>
      </c>
      <c r="B198" s="19">
        <v>-228</v>
      </c>
      <c r="C198" s="19">
        <v>0</v>
      </c>
      <c r="D198" s="19">
        <v>0</v>
      </c>
      <c r="E198" s="19">
        <v>-557</v>
      </c>
      <c r="F198" s="19">
        <v>-3213</v>
      </c>
      <c r="G198" s="19">
        <v>-6249</v>
      </c>
      <c r="H198" s="19">
        <f t="shared" si="51"/>
        <v>-10247</v>
      </c>
    </row>
    <row r="199" spans="1:8" x14ac:dyDescent="0.25">
      <c r="A199" s="54" t="s">
        <v>306</v>
      </c>
      <c r="B199" s="57">
        <f>SUM(B192:B198)</f>
        <v>-1455</v>
      </c>
      <c r="C199" s="57">
        <f t="shared" ref="C199:G199" si="60">SUM(C192:C198)</f>
        <v>-7126</v>
      </c>
      <c r="D199" s="57">
        <f t="shared" si="60"/>
        <v>-1313</v>
      </c>
      <c r="E199" s="57">
        <f t="shared" si="60"/>
        <v>-1927</v>
      </c>
      <c r="F199" s="57">
        <f t="shared" si="60"/>
        <v>-152</v>
      </c>
      <c r="G199" s="57">
        <f t="shared" si="60"/>
        <v>-1351</v>
      </c>
      <c r="H199" s="57">
        <f t="shared" si="51"/>
        <v>-13324</v>
      </c>
    </row>
    <row r="200" spans="1:8" x14ac:dyDescent="0.25">
      <c r="A200" s="54" t="s">
        <v>307</v>
      </c>
      <c r="B200" s="19">
        <v>-1960</v>
      </c>
      <c r="C200" s="19">
        <v>-1959</v>
      </c>
      <c r="D200" s="19">
        <v>-1958</v>
      </c>
      <c r="E200" s="19">
        <v>-1953</v>
      </c>
      <c r="F200" s="19">
        <v>-3183</v>
      </c>
      <c r="G200" s="19">
        <v>-2888</v>
      </c>
      <c r="H200" s="19">
        <f t="shared" si="51"/>
        <v>-13901</v>
      </c>
    </row>
    <row r="201" spans="1:8" x14ac:dyDescent="0.25">
      <c r="A201" s="54" t="s">
        <v>174</v>
      </c>
      <c r="B201" s="19">
        <v>-299</v>
      </c>
      <c r="C201" s="19">
        <v>-259</v>
      </c>
      <c r="D201" s="19">
        <v>-60</v>
      </c>
      <c r="E201" s="19">
        <v>-33</v>
      </c>
      <c r="F201" s="19">
        <v>-28</v>
      </c>
      <c r="G201" s="19">
        <v>18</v>
      </c>
      <c r="H201" s="19">
        <f t="shared" si="51"/>
        <v>-661</v>
      </c>
    </row>
    <row r="202" spans="1:8" x14ac:dyDescent="0.25">
      <c r="A202" s="19" t="s">
        <v>175</v>
      </c>
      <c r="B202" s="55">
        <f>SUM(B199:B201)</f>
        <v>-3714</v>
      </c>
      <c r="C202" s="55">
        <f t="shared" ref="C202:G202" si="61">SUM(C199:C201)</f>
        <v>-9344</v>
      </c>
      <c r="D202" s="55">
        <f t="shared" si="61"/>
        <v>-3331</v>
      </c>
      <c r="E202" s="55">
        <f t="shared" si="61"/>
        <v>-3913</v>
      </c>
      <c r="F202" s="55">
        <f t="shared" si="61"/>
        <v>-3363</v>
      </c>
      <c r="G202" s="55">
        <f t="shared" si="61"/>
        <v>-4221</v>
      </c>
      <c r="H202" s="55">
        <f t="shared" si="51"/>
        <v>-27886</v>
      </c>
    </row>
    <row r="203" spans="1:8" x14ac:dyDescent="0.25">
      <c r="A203" s="19" t="s">
        <v>176</v>
      </c>
      <c r="B203" s="19">
        <v>-69</v>
      </c>
      <c r="C203" s="19">
        <v>-30</v>
      </c>
      <c r="D203" s="19">
        <v>62</v>
      </c>
      <c r="E203" s="19">
        <v>-6</v>
      </c>
      <c r="F203" s="19">
        <v>-132</v>
      </c>
      <c r="G203" s="19">
        <v>57</v>
      </c>
      <c r="H203" s="19">
        <f t="shared" si="51"/>
        <v>-118</v>
      </c>
    </row>
    <row r="204" spans="1:8" x14ac:dyDescent="0.25">
      <c r="A204" s="19" t="s">
        <v>322</v>
      </c>
      <c r="B204" s="57">
        <f t="shared" ref="B204:G204" si="62">+B203+B202+B190+B171</f>
        <v>-2405</v>
      </c>
      <c r="C204" s="57">
        <f t="shared" si="62"/>
        <v>28</v>
      </c>
      <c r="D204" s="57">
        <f t="shared" si="62"/>
        <v>1138</v>
      </c>
      <c r="E204" s="57">
        <f t="shared" si="62"/>
        <v>1144</v>
      </c>
      <c r="F204" s="57">
        <f t="shared" si="62"/>
        <v>-633</v>
      </c>
      <c r="G204" s="57">
        <f t="shared" si="62"/>
        <v>-2486</v>
      </c>
      <c r="H204" s="57">
        <f t="shared" si="51"/>
        <v>-3214</v>
      </c>
    </row>
    <row r="205" spans="1:8" x14ac:dyDescent="0.25">
      <c r="A205" s="19" t="s">
        <v>178</v>
      </c>
      <c r="B205" s="19">
        <f>+C206</f>
        <v>3446</v>
      </c>
      <c r="C205" s="19">
        <f t="shared" ref="C205:E205" si="63">+D206</f>
        <v>3418</v>
      </c>
      <c r="D205" s="19">
        <v>2280</v>
      </c>
      <c r="E205" s="19">
        <f t="shared" si="63"/>
        <v>1136</v>
      </c>
      <c r="F205" s="19">
        <v>1769</v>
      </c>
      <c r="G205" s="19">
        <v>4255</v>
      </c>
      <c r="H205" s="19">
        <f>+G205</f>
        <v>4255</v>
      </c>
    </row>
    <row r="206" spans="1:8" ht="15.75" thickBot="1" x14ac:dyDescent="0.3">
      <c r="A206" s="19" t="s">
        <v>179</v>
      </c>
      <c r="B206" s="74">
        <f>+B205+B204</f>
        <v>1041</v>
      </c>
      <c r="C206" s="74">
        <f t="shared" ref="C206:G206" si="64">+C205+C204</f>
        <v>3446</v>
      </c>
      <c r="D206" s="74">
        <f t="shared" si="64"/>
        <v>3418</v>
      </c>
      <c r="E206" s="74">
        <f t="shared" si="64"/>
        <v>2280</v>
      </c>
      <c r="F206" s="74">
        <f t="shared" si="64"/>
        <v>1136</v>
      </c>
      <c r="G206" s="74">
        <f t="shared" si="64"/>
        <v>1769</v>
      </c>
      <c r="H206" s="74">
        <f>+H205+H204</f>
        <v>1041</v>
      </c>
    </row>
    <row r="207" spans="1:8" ht="15.75" thickTop="1" x14ac:dyDescent="0.25">
      <c r="A207" s="58" t="s">
        <v>308</v>
      </c>
      <c r="B207" s="19">
        <f t="shared" ref="B207:G207" si="65">+B206-B6</f>
        <v>1</v>
      </c>
      <c r="C207" s="19">
        <f t="shared" si="65"/>
        <v>1</v>
      </c>
      <c r="D207" s="19">
        <f t="shared" si="65"/>
        <v>1</v>
      </c>
      <c r="E207" s="19">
        <f t="shared" si="65"/>
        <v>1</v>
      </c>
      <c r="F207" s="19">
        <f t="shared" si="65"/>
        <v>6</v>
      </c>
      <c r="G207" s="19">
        <f t="shared" si="65"/>
        <v>140</v>
      </c>
    </row>
    <row r="209" spans="1:8" hidden="1" x14ac:dyDescent="0.25">
      <c r="A209" s="19" t="s">
        <v>181</v>
      </c>
      <c r="B209" s="60">
        <v>937</v>
      </c>
      <c r="C209" s="60">
        <v>1196</v>
      </c>
      <c r="D209" s="60">
        <v>1286</v>
      </c>
      <c r="E209" s="60">
        <v>1306</v>
      </c>
      <c r="F209" s="60">
        <v>1322</v>
      </c>
      <c r="G209" s="60">
        <v>1269</v>
      </c>
      <c r="H209" s="60"/>
    </row>
    <row r="210" spans="1:8" hidden="1" x14ac:dyDescent="0.25">
      <c r="A210" s="19" t="s">
        <v>182</v>
      </c>
      <c r="B210" s="19">
        <v>1260</v>
      </c>
      <c r="C210" s="19">
        <v>1295</v>
      </c>
      <c r="D210" s="19">
        <v>1027</v>
      </c>
      <c r="E210" s="19">
        <v>974</v>
      </c>
      <c r="F210" s="19">
        <v>543</v>
      </c>
      <c r="G210" s="19">
        <v>1206</v>
      </c>
    </row>
    <row r="211" spans="1:8" hidden="1" x14ac:dyDescent="0.25">
      <c r="A211" s="19" t="s">
        <v>183</v>
      </c>
      <c r="B211" s="60">
        <v>173</v>
      </c>
      <c r="C211" s="60">
        <v>176</v>
      </c>
      <c r="D211" s="60">
        <v>173</v>
      </c>
      <c r="E211" s="60">
        <v>191</v>
      </c>
      <c r="F211" s="60">
        <v>200</v>
      </c>
      <c r="G211" s="60">
        <v>244</v>
      </c>
      <c r="H211" s="60"/>
    </row>
    <row r="212" spans="1:8" x14ac:dyDescent="0.25">
      <c r="A212" s="66" t="str">
        <f>A1</f>
        <v>Kraft Heinz Company</v>
      </c>
      <c r="B212" s="66" t="str">
        <f>B1</f>
        <v>Reclassified</v>
      </c>
      <c r="C212" s="66"/>
      <c r="D212" s="66"/>
      <c r="E212" s="66"/>
      <c r="F212" s="66"/>
      <c r="G212" s="66"/>
      <c r="H212" s="66"/>
    </row>
    <row r="213" spans="1:8" x14ac:dyDescent="0.25">
      <c r="A213" s="66" t="s">
        <v>521</v>
      </c>
      <c r="B213" s="66"/>
      <c r="C213" s="66"/>
      <c r="D213" s="66"/>
      <c r="E213" s="66"/>
      <c r="F213" s="66"/>
      <c r="G213" s="66"/>
      <c r="H213" s="66"/>
    </row>
    <row r="214" spans="1:8" x14ac:dyDescent="0.25">
      <c r="A214" s="66" t="str">
        <f>A3</f>
        <v>in millions except per share data</v>
      </c>
      <c r="B214" s="66"/>
      <c r="C214" s="66"/>
      <c r="D214" s="66"/>
      <c r="E214" s="66"/>
      <c r="F214" s="66"/>
      <c r="G214" s="66"/>
      <c r="H214" s="66"/>
    </row>
    <row r="215" spans="1:8" ht="15.75" thickBot="1" x14ac:dyDescent="0.3">
      <c r="A215" s="67" t="str">
        <f>A4</f>
        <v>Year ended near 12/31:</v>
      </c>
      <c r="B215" s="69">
        <v>2022</v>
      </c>
      <c r="C215" s="69">
        <v>2021</v>
      </c>
      <c r="D215" s="71">
        <v>2020</v>
      </c>
      <c r="E215" s="73">
        <v>2019</v>
      </c>
      <c r="F215" s="69">
        <v>2018</v>
      </c>
      <c r="G215" s="69">
        <v>2017</v>
      </c>
      <c r="H215" s="69" t="s">
        <v>275</v>
      </c>
    </row>
    <row r="216" spans="1:8" x14ac:dyDescent="0.25">
      <c r="A216" s="19" t="s">
        <v>323</v>
      </c>
      <c r="B216" s="60">
        <f t="shared" ref="B216:G216" si="66">B60</f>
        <v>26485</v>
      </c>
      <c r="C216" s="60">
        <f t="shared" si="66"/>
        <v>26042</v>
      </c>
      <c r="D216" s="60">
        <f t="shared" si="66"/>
        <v>26185</v>
      </c>
      <c r="E216" s="60">
        <f t="shared" si="66"/>
        <v>24977</v>
      </c>
      <c r="F216" s="60">
        <f t="shared" si="66"/>
        <v>26268</v>
      </c>
      <c r="G216" s="60">
        <f t="shared" si="66"/>
        <v>26076</v>
      </c>
      <c r="H216" s="60">
        <f>SUM(B216:G216)</f>
        <v>156033</v>
      </c>
    </row>
    <row r="217" spans="1:8" x14ac:dyDescent="0.25">
      <c r="A217" s="54" t="s">
        <v>324</v>
      </c>
      <c r="B217" s="84">
        <f>B218/B216</f>
        <v>0.14921653766282802</v>
      </c>
      <c r="C217" s="84">
        <f t="shared" ref="C217:H217" si="67">C218/C216</f>
        <v>0.19038476307503263</v>
      </c>
      <c r="D217" s="84">
        <f t="shared" si="67"/>
        <v>0.17074661065495514</v>
      </c>
      <c r="E217" s="84">
        <f t="shared" si="67"/>
        <v>0.15153941626296191</v>
      </c>
      <c r="F217" s="84">
        <f t="shared" si="67"/>
        <v>0.17652657225521548</v>
      </c>
      <c r="G217" s="84">
        <f t="shared" si="67"/>
        <v>0.14822058597944471</v>
      </c>
      <c r="H217" s="84">
        <f t="shared" si="67"/>
        <v>0.16450366268673935</v>
      </c>
    </row>
    <row r="218" spans="1:8" x14ac:dyDescent="0.25">
      <c r="A218" s="19" t="s">
        <v>325</v>
      </c>
      <c r="B218" s="19">
        <f>B164</f>
        <v>3952</v>
      </c>
      <c r="C218" s="19">
        <f t="shared" ref="C218:G218" si="68">C164</f>
        <v>4958</v>
      </c>
      <c r="D218" s="19">
        <f t="shared" si="68"/>
        <v>4471</v>
      </c>
      <c r="E218" s="19">
        <f t="shared" si="68"/>
        <v>3785</v>
      </c>
      <c r="F218" s="19">
        <f t="shared" si="68"/>
        <v>4637</v>
      </c>
      <c r="G218" s="19">
        <f t="shared" si="68"/>
        <v>3865</v>
      </c>
      <c r="H218" s="19">
        <f t="shared" ref="H218:H230" si="69">SUM(B218:G218)</f>
        <v>25668</v>
      </c>
    </row>
    <row r="219" spans="1:8" x14ac:dyDescent="0.25">
      <c r="A219" s="54" t="s">
        <v>326</v>
      </c>
      <c r="B219" s="63">
        <f>B220-B218</f>
        <v>-1483</v>
      </c>
      <c r="C219" s="63">
        <f t="shared" ref="C219:G219" si="70">C220-C218</f>
        <v>406</v>
      </c>
      <c r="D219" s="63">
        <f t="shared" si="70"/>
        <v>458</v>
      </c>
      <c r="E219" s="63">
        <f t="shared" si="70"/>
        <v>-233</v>
      </c>
      <c r="F219" s="63">
        <f t="shared" si="70"/>
        <v>-2063</v>
      </c>
      <c r="G219" s="63">
        <f t="shared" si="70"/>
        <v>-3364</v>
      </c>
      <c r="H219" s="63">
        <f t="shared" si="69"/>
        <v>-6279</v>
      </c>
    </row>
    <row r="220" spans="1:8" x14ac:dyDescent="0.25">
      <c r="A220" s="19" t="s">
        <v>327</v>
      </c>
      <c r="B220" s="19">
        <f>B171</f>
        <v>2469</v>
      </c>
      <c r="C220" s="19">
        <f t="shared" ref="C220:G220" si="71">C171</f>
        <v>5364</v>
      </c>
      <c r="D220" s="19">
        <f t="shared" si="71"/>
        <v>4929</v>
      </c>
      <c r="E220" s="19">
        <f t="shared" si="71"/>
        <v>3552</v>
      </c>
      <c r="F220" s="19">
        <f t="shared" si="71"/>
        <v>2574</v>
      </c>
      <c r="G220" s="19">
        <f t="shared" si="71"/>
        <v>501</v>
      </c>
      <c r="H220" s="19">
        <f t="shared" si="69"/>
        <v>19389</v>
      </c>
    </row>
    <row r="221" spans="1:8" x14ac:dyDescent="0.25">
      <c r="A221" s="54" t="s">
        <v>328</v>
      </c>
      <c r="B221" s="63">
        <f>B184</f>
        <v>-916</v>
      </c>
      <c r="C221" s="63">
        <f t="shared" ref="C221:G221" si="72">C184</f>
        <v>-905</v>
      </c>
      <c r="D221" s="63">
        <f t="shared" si="72"/>
        <v>-596</v>
      </c>
      <c r="E221" s="63">
        <f t="shared" si="72"/>
        <v>-768</v>
      </c>
      <c r="F221" s="63">
        <f t="shared" si="72"/>
        <v>-826</v>
      </c>
      <c r="G221" s="63">
        <f t="shared" si="72"/>
        <v>-1194</v>
      </c>
      <c r="H221" s="63">
        <f t="shared" si="69"/>
        <v>-5205</v>
      </c>
    </row>
    <row r="222" spans="1:8" x14ac:dyDescent="0.25">
      <c r="A222" s="19" t="s">
        <v>329</v>
      </c>
      <c r="B222" s="19">
        <f>B220+B221</f>
        <v>1553</v>
      </c>
      <c r="C222" s="19">
        <f t="shared" ref="C222:G222" si="73">C220+C221</f>
        <v>4459</v>
      </c>
      <c r="D222" s="19">
        <f t="shared" si="73"/>
        <v>4333</v>
      </c>
      <c r="E222" s="19">
        <f t="shared" si="73"/>
        <v>2784</v>
      </c>
      <c r="F222" s="19">
        <f t="shared" si="73"/>
        <v>1748</v>
      </c>
      <c r="G222" s="19">
        <f t="shared" si="73"/>
        <v>-693</v>
      </c>
      <c r="H222" s="19">
        <f t="shared" si="69"/>
        <v>14184</v>
      </c>
    </row>
    <row r="223" spans="1:8" x14ac:dyDescent="0.25">
      <c r="A223" s="54" t="s">
        <v>330</v>
      </c>
      <c r="B223" s="19">
        <v>0</v>
      </c>
      <c r="C223" s="19">
        <v>0</v>
      </c>
      <c r="D223" s="19">
        <v>0</v>
      </c>
      <c r="E223" s="19">
        <v>0</v>
      </c>
      <c r="F223" s="19">
        <v>1296</v>
      </c>
      <c r="G223" s="19">
        <v>2286</v>
      </c>
      <c r="H223" s="19">
        <f t="shared" si="69"/>
        <v>3582</v>
      </c>
    </row>
    <row r="224" spans="1:8" x14ac:dyDescent="0.25">
      <c r="A224" s="54" t="s">
        <v>331</v>
      </c>
      <c r="B224" s="19">
        <v>-522</v>
      </c>
      <c r="C224" s="19">
        <v>-79</v>
      </c>
      <c r="D224" s="19">
        <v>0</v>
      </c>
      <c r="E224" s="19">
        <v>-201</v>
      </c>
      <c r="F224" s="19">
        <v>-244</v>
      </c>
      <c r="G224" s="19">
        <v>0</v>
      </c>
      <c r="H224" s="19">
        <f t="shared" si="69"/>
        <v>-1046</v>
      </c>
    </row>
    <row r="225" spans="1:8" x14ac:dyDescent="0.25">
      <c r="A225" s="54" t="s">
        <v>158</v>
      </c>
      <c r="B225" s="19">
        <f>B187</f>
        <v>208</v>
      </c>
      <c r="C225" s="19">
        <f t="shared" ref="C225:G225" si="74">C187</f>
        <v>-28</v>
      </c>
      <c r="D225" s="19">
        <f t="shared" si="74"/>
        <v>25</v>
      </c>
      <c r="E225" s="19">
        <f t="shared" si="74"/>
        <v>590</v>
      </c>
      <c r="F225" s="19">
        <f t="shared" si="74"/>
        <v>24</v>
      </c>
      <c r="G225" s="19">
        <f t="shared" si="74"/>
        <v>0</v>
      </c>
      <c r="H225" s="19">
        <f t="shared" si="69"/>
        <v>819</v>
      </c>
    </row>
    <row r="226" spans="1:8" x14ac:dyDescent="0.25">
      <c r="A226" s="54" t="s">
        <v>159</v>
      </c>
      <c r="B226" s="54">
        <f t="shared" ref="B226:G226" si="75">B188</f>
        <v>88</v>
      </c>
      <c r="C226" s="54">
        <f t="shared" si="75"/>
        <v>5014</v>
      </c>
      <c r="D226" s="54">
        <f t="shared" si="75"/>
        <v>0</v>
      </c>
      <c r="E226" s="54">
        <f t="shared" si="75"/>
        <v>1875</v>
      </c>
      <c r="F226" s="54">
        <f t="shared" si="75"/>
        <v>18</v>
      </c>
      <c r="G226" s="54">
        <f t="shared" si="75"/>
        <v>0</v>
      </c>
      <c r="H226" s="54">
        <f t="shared" si="69"/>
        <v>6995</v>
      </c>
    </row>
    <row r="227" spans="1:8" x14ac:dyDescent="0.25">
      <c r="A227" s="54" t="s">
        <v>332</v>
      </c>
      <c r="B227" s="80">
        <f t="shared" ref="B227:G228" si="76">B199</f>
        <v>-1455</v>
      </c>
      <c r="C227" s="80">
        <f t="shared" si="76"/>
        <v>-7126</v>
      </c>
      <c r="D227" s="80">
        <f t="shared" si="76"/>
        <v>-1313</v>
      </c>
      <c r="E227" s="80">
        <f t="shared" si="76"/>
        <v>-1927</v>
      </c>
      <c r="F227" s="80">
        <f t="shared" si="76"/>
        <v>-152</v>
      </c>
      <c r="G227" s="80">
        <f t="shared" si="76"/>
        <v>-1351</v>
      </c>
      <c r="H227" s="19">
        <f t="shared" si="69"/>
        <v>-13324</v>
      </c>
    </row>
    <row r="228" spans="1:8" x14ac:dyDescent="0.25">
      <c r="A228" s="19" t="s">
        <v>307</v>
      </c>
      <c r="B228" s="19">
        <f>B200</f>
        <v>-1960</v>
      </c>
      <c r="C228" s="19">
        <f t="shared" si="76"/>
        <v>-1959</v>
      </c>
      <c r="D228" s="19">
        <f t="shared" si="76"/>
        <v>-1958</v>
      </c>
      <c r="E228" s="19">
        <f t="shared" si="76"/>
        <v>-1953</v>
      </c>
      <c r="F228" s="19">
        <f t="shared" si="76"/>
        <v>-3183</v>
      </c>
      <c r="G228" s="19">
        <f t="shared" si="76"/>
        <v>-2888</v>
      </c>
      <c r="H228" s="19">
        <f t="shared" si="69"/>
        <v>-13901</v>
      </c>
    </row>
    <row r="229" spans="1:8" x14ac:dyDescent="0.25">
      <c r="A229" s="54" t="s">
        <v>333</v>
      </c>
      <c r="B229" s="19">
        <f>B230-SUM(B222:B228)</f>
        <v>-317</v>
      </c>
      <c r="C229" s="19">
        <f t="shared" ref="C229:G229" si="77">C230-SUM(C222:C228)</f>
        <v>-253</v>
      </c>
      <c r="D229" s="19">
        <f t="shared" si="77"/>
        <v>51</v>
      </c>
      <c r="E229" s="19">
        <f t="shared" si="77"/>
        <v>-24</v>
      </c>
      <c r="F229" s="19">
        <f t="shared" si="77"/>
        <v>-140</v>
      </c>
      <c r="G229" s="19">
        <f t="shared" si="77"/>
        <v>160</v>
      </c>
      <c r="H229" s="19">
        <f t="shared" si="69"/>
        <v>-523</v>
      </c>
    </row>
    <row r="230" spans="1:8" ht="15.75" thickBot="1" x14ac:dyDescent="0.3">
      <c r="A230" s="19" t="s">
        <v>334</v>
      </c>
      <c r="B230" s="74" cm="1">
        <f t="array" ref="B230:G230">B204:G204</f>
        <v>-2405</v>
      </c>
      <c r="C230" s="74">
        <v>28</v>
      </c>
      <c r="D230" s="74">
        <v>1138</v>
      </c>
      <c r="E230" s="74">
        <v>1144</v>
      </c>
      <c r="F230" s="74">
        <v>-633</v>
      </c>
      <c r="G230" s="74">
        <v>-2486</v>
      </c>
      <c r="H230" s="87">
        <f t="shared" si="69"/>
        <v>-3214</v>
      </c>
    </row>
    <row r="231" spans="1:8" ht="15.75" thickTop="1" x14ac:dyDescent="0.25"/>
    <row r="234" spans="1:8" x14ac:dyDescent="0.25">
      <c r="A234" s="19" t="s">
        <v>325</v>
      </c>
      <c r="B234" s="60">
        <f>B164</f>
        <v>3952</v>
      </c>
      <c r="C234" s="60">
        <f t="shared" ref="C234:G234" si="78">C164</f>
        <v>4958</v>
      </c>
      <c r="D234" s="60">
        <f t="shared" si="78"/>
        <v>4471</v>
      </c>
      <c r="E234" s="60">
        <f t="shared" si="78"/>
        <v>3785</v>
      </c>
      <c r="F234" s="60">
        <f t="shared" si="78"/>
        <v>4637</v>
      </c>
      <c r="G234" s="60">
        <f t="shared" si="78"/>
        <v>3865</v>
      </c>
      <c r="H234" s="60"/>
    </row>
    <row r="235" spans="1:8" x14ac:dyDescent="0.25">
      <c r="A235" s="19" t="s">
        <v>329</v>
      </c>
      <c r="B235" s="19">
        <f>B222</f>
        <v>1553</v>
      </c>
      <c r="C235" s="19">
        <f t="shared" ref="C235:G235" si="79">C222</f>
        <v>4459</v>
      </c>
      <c r="D235" s="19">
        <f t="shared" si="79"/>
        <v>4333</v>
      </c>
      <c r="E235" s="19">
        <f t="shared" si="79"/>
        <v>2784</v>
      </c>
      <c r="F235" s="19">
        <f t="shared" si="79"/>
        <v>1748</v>
      </c>
      <c r="G235" s="19">
        <f t="shared" si="79"/>
        <v>-693</v>
      </c>
    </row>
    <row r="236" spans="1:8" x14ac:dyDescent="0.25">
      <c r="A236" s="19" t="s">
        <v>335</v>
      </c>
      <c r="B236" s="19">
        <f t="shared" ref="B236:G236" si="80">B235+(B70*0.75)</f>
        <v>2243.75</v>
      </c>
      <c r="C236" s="19">
        <f t="shared" si="80"/>
        <v>5994.25</v>
      </c>
      <c r="D236" s="19">
        <f t="shared" si="80"/>
        <v>5378.5</v>
      </c>
      <c r="E236" s="19">
        <f t="shared" si="80"/>
        <v>3804.75</v>
      </c>
      <c r="F236" s="19">
        <f t="shared" si="80"/>
        <v>2711</v>
      </c>
      <c r="G236" s="19">
        <f t="shared" si="80"/>
        <v>232.5</v>
      </c>
    </row>
    <row r="237" spans="1:8" x14ac:dyDescent="0.25">
      <c r="A237" s="19" t="s">
        <v>336</v>
      </c>
      <c r="B237" s="60">
        <f>B235+B227</f>
        <v>98</v>
      </c>
      <c r="C237" s="60">
        <f t="shared" ref="C237:G237" si="81">C235+C227</f>
        <v>-2667</v>
      </c>
      <c r="D237" s="60">
        <f t="shared" si="81"/>
        <v>3020</v>
      </c>
      <c r="E237" s="60">
        <f t="shared" si="81"/>
        <v>857</v>
      </c>
      <c r="F237" s="60">
        <f t="shared" si="81"/>
        <v>1596</v>
      </c>
      <c r="G237" s="60">
        <f t="shared" si="81"/>
        <v>-2044</v>
      </c>
      <c r="H237" s="60"/>
    </row>
    <row r="239" spans="1:8" x14ac:dyDescent="0.25">
      <c r="A239" s="19" t="s">
        <v>337</v>
      </c>
      <c r="B239" s="92">
        <f>-B221/B152</f>
        <v>0.98177920685959275</v>
      </c>
      <c r="C239" s="92">
        <f t="shared" ref="C239:F239" si="82">-C221/C152</f>
        <v>0.99450549450549453</v>
      </c>
      <c r="D239" s="92">
        <f t="shared" si="82"/>
        <v>0.61506707946336425</v>
      </c>
      <c r="E239" s="92">
        <f t="shared" si="82"/>
        <v>0.77263581488933597</v>
      </c>
      <c r="F239" s="92">
        <f t="shared" si="82"/>
        <v>0.84028484231943035</v>
      </c>
      <c r="G239" s="92">
        <f>-G221/G152</f>
        <v>1.1580989330746847</v>
      </c>
      <c r="H239" s="92"/>
    </row>
    <row r="240" spans="1:8" x14ac:dyDescent="0.25">
      <c r="A240" s="19" t="s">
        <v>338</v>
      </c>
      <c r="B240" s="92">
        <f t="shared" ref="B240:G240" si="83">B14/B152</f>
        <v>55.39228295819936</v>
      </c>
      <c r="C240" s="92">
        <f t="shared" si="83"/>
        <v>57.260439560439558</v>
      </c>
      <c r="D240" s="92">
        <f t="shared" si="83"/>
        <v>54.484004127966976</v>
      </c>
      <c r="E240" s="92">
        <f t="shared" si="83"/>
        <v>54.017102615694164</v>
      </c>
      <c r="F240" s="92">
        <f t="shared" si="83"/>
        <v>53.892166836215665</v>
      </c>
      <c r="G240" s="92">
        <f t="shared" si="83"/>
        <v>64.562560620756543</v>
      </c>
      <c r="H240" s="92"/>
    </row>
    <row r="241" spans="1:8" x14ac:dyDescent="0.25">
      <c r="A241" s="19" t="s">
        <v>339</v>
      </c>
      <c r="B241" s="92">
        <f t="shared" ref="B241:G241" si="84">-B16/B152</f>
        <v>4.514469453376206</v>
      </c>
      <c r="C241" s="92">
        <f t="shared" si="84"/>
        <v>4.2505494505494505</v>
      </c>
      <c r="D241" s="92">
        <f t="shared" si="84"/>
        <v>3.6769865841073273</v>
      </c>
      <c r="E241" s="92">
        <f t="shared" si="84"/>
        <v>3.2062374245472838</v>
      </c>
      <c r="F241" s="92">
        <f t="shared" si="84"/>
        <v>2.6286876907426246</v>
      </c>
      <c r="G241" s="92">
        <f t="shared" si="84"/>
        <v>2.0261881668283221</v>
      </c>
      <c r="H241" s="92"/>
    </row>
    <row r="242" spans="1:8" x14ac:dyDescent="0.25">
      <c r="A242" s="19" t="s">
        <v>340</v>
      </c>
      <c r="B242" s="92">
        <f>B240-B241</f>
        <v>50.877813504823152</v>
      </c>
      <c r="C242" s="92">
        <f t="shared" ref="C242:G242" si="85">C240-C241</f>
        <v>53.009890109890108</v>
      </c>
      <c r="D242" s="92">
        <f t="shared" si="85"/>
        <v>50.807017543859651</v>
      </c>
      <c r="E242" s="92">
        <f t="shared" si="85"/>
        <v>50.810865191146881</v>
      </c>
      <c r="F242" s="92">
        <f t="shared" si="85"/>
        <v>51.263479145473042</v>
      </c>
      <c r="G242" s="92">
        <f t="shared" si="85"/>
        <v>62.536372453928223</v>
      </c>
      <c r="H242" s="92"/>
    </row>
    <row r="243" spans="1:8" x14ac:dyDescent="0.25">
      <c r="A243" s="19" t="s">
        <v>341</v>
      </c>
      <c r="B243" s="83">
        <f>B241/B240</f>
        <v>8.1499970975793812E-2</v>
      </c>
      <c r="C243" s="83">
        <f t="shared" ref="C243:G243" si="86">C241/C240</f>
        <v>7.423186903870882E-2</v>
      </c>
      <c r="D243" s="83">
        <f t="shared" si="86"/>
        <v>6.7487451463206741E-2</v>
      </c>
      <c r="E243" s="83">
        <f t="shared" si="86"/>
        <v>5.9355968189521914E-2</v>
      </c>
      <c r="F243" s="83">
        <f t="shared" si="86"/>
        <v>4.8776804590758081E-2</v>
      </c>
      <c r="G243" s="83">
        <f t="shared" si="86"/>
        <v>3.1383330328706209E-2</v>
      </c>
      <c r="H243" s="83"/>
    </row>
    <row r="244" spans="1:8" x14ac:dyDescent="0.25">
      <c r="A244" s="19" t="s">
        <v>342</v>
      </c>
      <c r="B244" s="58" t="s">
        <v>343</v>
      </c>
      <c r="C244" s="58" t="s">
        <v>343</v>
      </c>
      <c r="D244" s="58" t="s">
        <v>343</v>
      </c>
      <c r="E244" s="58" t="s">
        <v>343</v>
      </c>
      <c r="F244" s="58" t="s">
        <v>343</v>
      </c>
      <c r="G244" s="58" t="s">
        <v>343</v>
      </c>
      <c r="H244" s="58"/>
    </row>
    <row r="246" spans="1:8" x14ac:dyDescent="0.25">
      <c r="A246" s="19" t="s">
        <v>344</v>
      </c>
    </row>
    <row r="247" spans="1:8" x14ac:dyDescent="0.25">
      <c r="A247" s="19" t="s">
        <v>345</v>
      </c>
    </row>
    <row r="248" spans="1:8" x14ac:dyDescent="0.25">
      <c r="A248" s="19" t="s">
        <v>346</v>
      </c>
    </row>
    <row r="249" spans="1:8" x14ac:dyDescent="0.25">
      <c r="A249" s="19" t="s">
        <v>347</v>
      </c>
    </row>
    <row r="250" spans="1:8" x14ac:dyDescent="0.25">
      <c r="A250" s="19" t="s">
        <v>348</v>
      </c>
    </row>
    <row r="251" spans="1:8" x14ac:dyDescent="0.25">
      <c r="A251" s="19" t="s">
        <v>349</v>
      </c>
    </row>
    <row r="252" spans="1:8" x14ac:dyDescent="0.25">
      <c r="A252" s="19" t="s">
        <v>350</v>
      </c>
    </row>
    <row r="253" spans="1:8" x14ac:dyDescent="0.25">
      <c r="A253" s="19" t="s">
        <v>351</v>
      </c>
    </row>
    <row r="254" spans="1:8" x14ac:dyDescent="0.25">
      <c r="A254" s="19" t="s">
        <v>352</v>
      </c>
    </row>
    <row r="255" spans="1:8" x14ac:dyDescent="0.25">
      <c r="A255" s="19" t="s">
        <v>353</v>
      </c>
    </row>
    <row r="257" spans="1:7" x14ac:dyDescent="0.25">
      <c r="A257" s="19" t="s">
        <v>354</v>
      </c>
    </row>
    <row r="258" spans="1:7" x14ac:dyDescent="0.25">
      <c r="A258" s="19" t="s">
        <v>355</v>
      </c>
    </row>
    <row r="259" spans="1:7" x14ac:dyDescent="0.25">
      <c r="A259" s="19" t="s">
        <v>356</v>
      </c>
    </row>
    <row r="261" spans="1:7" x14ac:dyDescent="0.25">
      <c r="A261" s="75" t="str">
        <f>A1</f>
        <v>Kraft Heinz Company</v>
      </c>
      <c r="B261" s="75" t="str">
        <f>B1</f>
        <v>Reclassified</v>
      </c>
      <c r="C261" s="75"/>
      <c r="D261" s="75"/>
      <c r="E261" s="75"/>
      <c r="F261" s="75"/>
      <c r="G261" s="75"/>
    </row>
    <row r="262" spans="1:7" x14ac:dyDescent="0.25">
      <c r="A262" s="75" t="s">
        <v>357</v>
      </c>
      <c r="B262" s="75"/>
      <c r="C262" s="75"/>
      <c r="D262" s="75"/>
      <c r="E262" s="75"/>
      <c r="F262" s="75"/>
      <c r="G262" s="75"/>
    </row>
    <row r="263" spans="1:7" x14ac:dyDescent="0.25">
      <c r="A263" s="75" t="str">
        <f>A3</f>
        <v>in millions except per share data</v>
      </c>
      <c r="B263" s="75"/>
      <c r="C263" s="75"/>
      <c r="D263" s="75"/>
      <c r="E263" s="75"/>
      <c r="F263" s="75"/>
      <c r="G263" s="75"/>
    </row>
    <row r="264" spans="1:7" ht="15.75" thickBot="1" x14ac:dyDescent="0.3">
      <c r="A264" s="75" t="str">
        <f>A4</f>
        <v>Year ended near 12/31:</v>
      </c>
      <c r="B264" s="69">
        <f>B300</f>
        <v>2022</v>
      </c>
      <c r="C264" s="69">
        <f t="shared" ref="C264:G264" si="87">C300</f>
        <v>2021</v>
      </c>
      <c r="D264" s="69">
        <f t="shared" si="87"/>
        <v>2020</v>
      </c>
      <c r="E264" s="69">
        <f t="shared" si="87"/>
        <v>2019</v>
      </c>
      <c r="F264" s="69">
        <f t="shared" si="87"/>
        <v>2018</v>
      </c>
      <c r="G264" s="69">
        <f t="shared" si="87"/>
        <v>2017</v>
      </c>
    </row>
    <row r="265" spans="1:7" x14ac:dyDescent="0.25">
      <c r="A265" s="92" t="s">
        <v>254</v>
      </c>
      <c r="B265" s="92">
        <f t="shared" ref="B265:G265" si="88">B11-B28</f>
        <v>-1131</v>
      </c>
      <c r="C265" s="19">
        <f t="shared" si="88"/>
        <v>-70</v>
      </c>
      <c r="D265" s="19">
        <f t="shared" si="88"/>
        <v>2761</v>
      </c>
      <c r="E265" s="19">
        <f t="shared" si="88"/>
        <v>222</v>
      </c>
      <c r="F265" s="19">
        <f t="shared" si="88"/>
        <v>1572</v>
      </c>
      <c r="G265" s="19">
        <f t="shared" si="88"/>
        <v>-2953</v>
      </c>
    </row>
    <row r="266" spans="1:7" x14ac:dyDescent="0.25">
      <c r="A266" s="92" t="s">
        <v>358</v>
      </c>
      <c r="B266" s="92">
        <f t="shared" ref="B266:G266" si="89">B265+B23</f>
        <v>-294</v>
      </c>
      <c r="C266" s="19">
        <f t="shared" si="89"/>
        <v>684</v>
      </c>
      <c r="D266" s="19">
        <f t="shared" si="89"/>
        <v>2997</v>
      </c>
      <c r="E266" s="19">
        <f t="shared" si="89"/>
        <v>1250</v>
      </c>
      <c r="F266" s="19">
        <f t="shared" si="89"/>
        <v>1970</v>
      </c>
      <c r="G266" s="19">
        <f t="shared" si="89"/>
        <v>242</v>
      </c>
    </row>
    <row r="267" spans="1:7" x14ac:dyDescent="0.25">
      <c r="A267" s="92" t="s">
        <v>359</v>
      </c>
      <c r="B267" s="92">
        <f t="shared" ref="B267:G267" si="90">B266-B6-B7</f>
        <v>-1334</v>
      </c>
      <c r="C267" s="19">
        <f t="shared" si="90"/>
        <v>-2761</v>
      </c>
      <c r="D267" s="19">
        <f t="shared" si="90"/>
        <v>-420</v>
      </c>
      <c r="E267" s="19">
        <f t="shared" si="90"/>
        <v>-1029</v>
      </c>
      <c r="F267" s="19">
        <f t="shared" si="90"/>
        <v>840</v>
      </c>
      <c r="G267" s="19">
        <f t="shared" si="90"/>
        <v>-1387</v>
      </c>
    </row>
    <row r="268" spans="1:7" x14ac:dyDescent="0.25">
      <c r="A268" s="92"/>
      <c r="B268" s="92"/>
    </row>
    <row r="269" spans="1:7" x14ac:dyDescent="0.25">
      <c r="A269" s="92" t="s">
        <v>360</v>
      </c>
      <c r="B269" s="92">
        <f t="shared" ref="B269:G269" si="91">B11/B28</f>
        <v>0.87472308373947716</v>
      </c>
      <c r="C269" s="92">
        <f t="shared" si="91"/>
        <v>0.99227714033539272</v>
      </c>
      <c r="D269" s="92">
        <f t="shared" si="91"/>
        <v>1.342513335814415</v>
      </c>
      <c r="E269" s="92">
        <f t="shared" si="91"/>
        <v>1.0281904761904761</v>
      </c>
      <c r="F269" s="92">
        <f t="shared" si="91"/>
        <v>1.2095161935225909</v>
      </c>
      <c r="G269" s="92">
        <f t="shared" si="91"/>
        <v>0.70917864880835135</v>
      </c>
    </row>
    <row r="270" spans="1:7" x14ac:dyDescent="0.25">
      <c r="A270" s="92" t="s">
        <v>361</v>
      </c>
      <c r="B270" s="92">
        <f t="shared" ref="B270:G270" si="92">SUM(B6:B8)/B28</f>
        <v>0.3500221533008418</v>
      </c>
      <c r="C270" s="92">
        <f t="shared" si="92"/>
        <v>0.59598411297440423</v>
      </c>
      <c r="D270" s="92">
        <f t="shared" si="92"/>
        <v>0.67981639995037835</v>
      </c>
      <c r="E270" s="92">
        <f t="shared" si="92"/>
        <v>0.53993650793650794</v>
      </c>
      <c r="F270" s="92">
        <f t="shared" si="92"/>
        <v>0.43435958949753434</v>
      </c>
      <c r="G270" s="92">
        <f t="shared" si="92"/>
        <v>0.25113255859759703</v>
      </c>
    </row>
    <row r="271" spans="1:7" x14ac:dyDescent="0.25">
      <c r="A271" s="92" t="s">
        <v>362</v>
      </c>
      <c r="B271" s="92">
        <f t="shared" ref="B271:G271" si="93">SUM(B6:B7)/B28</f>
        <v>0.11519716437749225</v>
      </c>
      <c r="C271" s="92">
        <f t="shared" si="93"/>
        <v>0.38007502206531335</v>
      </c>
      <c r="D271" s="92">
        <f t="shared" si="93"/>
        <v>0.423892817268329</v>
      </c>
      <c r="E271" s="92">
        <f t="shared" si="93"/>
        <v>0.28939682539682537</v>
      </c>
      <c r="F271" s="92">
        <f t="shared" si="93"/>
        <v>0.15060642409702785</v>
      </c>
      <c r="G271" s="92">
        <f t="shared" si="93"/>
        <v>0.16042938743352372</v>
      </c>
    </row>
    <row r="272" spans="1:7" x14ac:dyDescent="0.25">
      <c r="A272" s="92"/>
      <c r="B272" s="92"/>
    </row>
    <row r="273" spans="1:7" x14ac:dyDescent="0.25">
      <c r="A273" s="92" t="s">
        <v>363</v>
      </c>
      <c r="B273" s="92"/>
    </row>
    <row r="274" spans="1:7" x14ac:dyDescent="0.25">
      <c r="A274" s="93" t="s">
        <v>364</v>
      </c>
      <c r="B274" s="92">
        <f t="shared" ref="B274:G275" si="94">B60/AVERAGE(B8:C8)</f>
        <v>12.992396369879813</v>
      </c>
      <c r="C274" s="92">
        <f t="shared" si="94"/>
        <v>12.956218905472637</v>
      </c>
      <c r="D274" s="92">
        <f t="shared" si="94"/>
        <v>12.975718533201189</v>
      </c>
      <c r="E274" s="92">
        <f t="shared" si="94"/>
        <v>12.177961969770843</v>
      </c>
      <c r="F274" s="92">
        <f t="shared" si="94"/>
        <v>17.224918032786885</v>
      </c>
      <c r="G274" s="92">
        <f t="shared" si="94"/>
        <v>28.312703583061889</v>
      </c>
    </row>
    <row r="275" spans="1:7" x14ac:dyDescent="0.25">
      <c r="A275" s="93" t="s">
        <v>365</v>
      </c>
      <c r="B275" s="92">
        <f t="shared" si="94"/>
        <v>5.7564263322884015</v>
      </c>
      <c r="C275" s="92">
        <f t="shared" si="94"/>
        <v>6.5720234715123986</v>
      </c>
      <c r="D275" s="92">
        <f t="shared" si="94"/>
        <v>6.4485308056872039</v>
      </c>
      <c r="E275" s="92">
        <f t="shared" si="94"/>
        <v>6.2472160356347439</v>
      </c>
      <c r="F275" s="92">
        <f t="shared" si="94"/>
        <v>6.3928505620047913</v>
      </c>
      <c r="G275" s="92">
        <f t="shared" si="94"/>
        <v>6.1749999999999998</v>
      </c>
    </row>
    <row r="276" spans="1:7" x14ac:dyDescent="0.25">
      <c r="A276" s="93" t="s">
        <v>366</v>
      </c>
      <c r="B276" s="92">
        <f t="shared" ref="B276:G276" si="95">B291/AVERAGE(B24:C24)</f>
        <v>4.0587438808457454</v>
      </c>
      <c r="C276" s="92">
        <f t="shared" si="95"/>
        <v>3.8652975598984209</v>
      </c>
      <c r="D276" s="92">
        <f t="shared" si="95"/>
        <v>4.1548091970627183</v>
      </c>
      <c r="E276" s="92">
        <f t="shared" si="95"/>
        <v>4.1949485041687105</v>
      </c>
      <c r="F276" s="92">
        <f t="shared" si="95"/>
        <v>4.1334116265413972</v>
      </c>
      <c r="G276" s="92">
        <f t="shared" si="95"/>
        <v>3.9612563044475011</v>
      </c>
    </row>
    <row r="277" spans="1:7" x14ac:dyDescent="0.25">
      <c r="A277" s="92"/>
      <c r="B277" s="92"/>
      <c r="C277" s="92"/>
      <c r="D277" s="92"/>
      <c r="E277" s="92"/>
      <c r="F277" s="92"/>
    </row>
    <row r="278" spans="1:7" x14ac:dyDescent="0.25">
      <c r="A278" s="92" t="s">
        <v>367</v>
      </c>
      <c r="B278" s="92"/>
      <c r="C278" s="92"/>
      <c r="D278" s="92"/>
      <c r="E278" s="92"/>
      <c r="F278" s="92"/>
    </row>
    <row r="279" spans="1:7" x14ac:dyDescent="0.25">
      <c r="A279" s="94" t="s">
        <v>368</v>
      </c>
      <c r="B279" s="92">
        <f>360/B274</f>
        <v>27.708514253350955</v>
      </c>
      <c r="C279" s="92">
        <f t="shared" ref="C279:G280" si="96">360/C274</f>
        <v>27.78588434068044</v>
      </c>
      <c r="D279" s="92">
        <f t="shared" si="96"/>
        <v>27.744128317739165</v>
      </c>
      <c r="E279" s="92">
        <f t="shared" si="96"/>
        <v>29.561596668935422</v>
      </c>
      <c r="F279" s="92">
        <f t="shared" si="96"/>
        <v>20.899954317039743</v>
      </c>
      <c r="G279" s="92">
        <f t="shared" si="96"/>
        <v>12.715140358950759</v>
      </c>
    </row>
    <row r="280" spans="1:7" x14ac:dyDescent="0.25">
      <c r="A280" s="94" t="s">
        <v>369</v>
      </c>
      <c r="B280" s="92">
        <f>360/B275</f>
        <v>62.53880084953439</v>
      </c>
      <c r="C280" s="92">
        <f t="shared" si="96"/>
        <v>54.777649769585253</v>
      </c>
      <c r="D280" s="92">
        <f t="shared" si="96"/>
        <v>55.826669802445906</v>
      </c>
      <c r="E280" s="92">
        <f t="shared" si="96"/>
        <v>57.62566844919786</v>
      </c>
      <c r="F280" s="92">
        <f t="shared" si="96"/>
        <v>56.312907130916003</v>
      </c>
      <c r="G280" s="92">
        <f t="shared" si="96"/>
        <v>58.299595141700408</v>
      </c>
    </row>
    <row r="281" spans="1:7" x14ac:dyDescent="0.25">
      <c r="A281" s="93" t="s">
        <v>370</v>
      </c>
      <c r="B281" s="95">
        <f>B279+B280</f>
        <v>90.247315102885352</v>
      </c>
      <c r="C281" s="95">
        <f t="shared" ref="C281:G281" si="97">C279+C280</f>
        <v>82.563534110265692</v>
      </c>
      <c r="D281" s="95">
        <f t="shared" si="97"/>
        <v>83.570798120185074</v>
      </c>
      <c r="E281" s="95">
        <f t="shared" si="97"/>
        <v>87.187265118133283</v>
      </c>
      <c r="F281" s="95">
        <f t="shared" si="97"/>
        <v>77.212861447955746</v>
      </c>
      <c r="G281" s="95">
        <f t="shared" si="97"/>
        <v>71.01473550065117</v>
      </c>
    </row>
    <row r="282" spans="1:7" x14ac:dyDescent="0.25">
      <c r="A282" s="94" t="s">
        <v>371</v>
      </c>
      <c r="B282" s="92">
        <f>360/B276</f>
        <v>88.697392732498457</v>
      </c>
      <c r="C282" s="92">
        <f t="shared" ref="C282:G282" si="98">360/C276</f>
        <v>93.136425959780624</v>
      </c>
      <c r="D282" s="92">
        <f t="shared" si="98"/>
        <v>86.646578200150657</v>
      </c>
      <c r="E282" s="92">
        <f t="shared" si="98"/>
        <v>85.817501607529081</v>
      </c>
      <c r="F282" s="92">
        <f t="shared" si="98"/>
        <v>87.095124445959783</v>
      </c>
      <c r="G282" s="92">
        <f t="shared" si="98"/>
        <v>90.880259274263551</v>
      </c>
    </row>
    <row r="283" spans="1:7" ht="15.75" thickBot="1" x14ac:dyDescent="0.3">
      <c r="A283" s="93" t="s">
        <v>372</v>
      </c>
      <c r="B283" s="96">
        <f>B281-B282</f>
        <v>1.549922370386895</v>
      </c>
      <c r="C283" s="96">
        <f t="shared" ref="C283:G283" si="99">C281-C282</f>
        <v>-10.572891849514932</v>
      </c>
      <c r="D283" s="96">
        <f t="shared" si="99"/>
        <v>-3.0757800799655826</v>
      </c>
      <c r="E283" s="96">
        <f t="shared" si="99"/>
        <v>1.3697635106042014</v>
      </c>
      <c r="F283" s="96">
        <f t="shared" si="99"/>
        <v>-9.8822629980040375</v>
      </c>
      <c r="G283" s="96">
        <f t="shared" si="99"/>
        <v>-19.865523773612381</v>
      </c>
    </row>
    <row r="284" spans="1:7" ht="15.75" thickTop="1" x14ac:dyDescent="0.25">
      <c r="A284" s="92"/>
      <c r="B284" s="92"/>
    </row>
    <row r="285" spans="1:7" x14ac:dyDescent="0.25">
      <c r="A285" s="92" t="s">
        <v>373</v>
      </c>
      <c r="B285" s="92"/>
    </row>
    <row r="286" spans="1:7" x14ac:dyDescent="0.25">
      <c r="A286" s="93" t="s">
        <v>374</v>
      </c>
      <c r="B286" s="92">
        <f t="shared" ref="B286:G287" si="100">B8/(B60/365)</f>
        <v>29.216537662828017</v>
      </c>
      <c r="C286" s="92">
        <f t="shared" si="100"/>
        <v>27.428960909300361</v>
      </c>
      <c r="D286" s="92">
        <f t="shared" si="100"/>
        <v>28.756730952835596</v>
      </c>
      <c r="E286" s="92">
        <f t="shared" si="100"/>
        <v>28.83232573968051</v>
      </c>
      <c r="F286" s="92">
        <f t="shared" si="100"/>
        <v>29.582952641997871</v>
      </c>
      <c r="G286" s="92">
        <f t="shared" si="100"/>
        <v>12.891739530602852</v>
      </c>
    </row>
    <row r="287" spans="1:7" x14ac:dyDescent="0.25">
      <c r="A287" s="93" t="s">
        <v>375</v>
      </c>
      <c r="B287" s="92">
        <f t="shared" si="100"/>
        <v>72.570658389152101</v>
      </c>
      <c r="C287" s="92">
        <f t="shared" si="100"/>
        <v>57.378168202764982</v>
      </c>
      <c r="D287" s="92">
        <f t="shared" si="100"/>
        <v>54.810089369708372</v>
      </c>
      <c r="E287" s="92">
        <f t="shared" si="100"/>
        <v>59.011586452762927</v>
      </c>
      <c r="F287" s="92">
        <f t="shared" si="100"/>
        <v>56.116619588401456</v>
      </c>
      <c r="G287" s="92">
        <f t="shared" si="100"/>
        <v>59.109311740890682</v>
      </c>
    </row>
    <row r="288" spans="1:7" x14ac:dyDescent="0.25">
      <c r="A288" s="93" t="s">
        <v>376</v>
      </c>
      <c r="B288" s="92">
        <f t="shared" ref="B288:G288" si="101">B24/(B291/365)</f>
        <v>90.819133648121536</v>
      </c>
      <c r="C288" s="92">
        <f t="shared" si="101"/>
        <v>99.111345978062161</v>
      </c>
      <c r="D288" s="92">
        <f t="shared" si="101"/>
        <v>91.033203917250972</v>
      </c>
      <c r="E288" s="92">
        <f t="shared" si="101"/>
        <v>85.409189220786814</v>
      </c>
      <c r="F288" s="92">
        <f t="shared" si="101"/>
        <v>86.137345152858273</v>
      </c>
      <c r="G288" s="92">
        <f t="shared" si="101"/>
        <v>92.142485097517209</v>
      </c>
    </row>
    <row r="289" spans="1:7" x14ac:dyDescent="0.25">
      <c r="A289" s="92"/>
      <c r="B289" s="92"/>
    </row>
    <row r="290" spans="1:7" x14ac:dyDescent="0.25">
      <c r="A290" s="92" t="s">
        <v>377</v>
      </c>
      <c r="B290" s="97">
        <f t="shared" ref="B290:G290" si="102">B60+B166</f>
        <v>26257</v>
      </c>
      <c r="C290" s="60">
        <f t="shared" si="102"/>
        <v>26129</v>
      </c>
      <c r="D290" s="60">
        <f t="shared" si="102"/>
        <v>26159</v>
      </c>
      <c r="E290" s="60">
        <f t="shared" si="102"/>
        <v>25117</v>
      </c>
      <c r="F290" s="60">
        <f t="shared" si="102"/>
        <v>23988</v>
      </c>
      <c r="G290" s="60">
        <f t="shared" si="102"/>
        <v>23447</v>
      </c>
    </row>
    <row r="291" spans="1:7" x14ac:dyDescent="0.25">
      <c r="A291" s="92" t="s">
        <v>378</v>
      </c>
      <c r="B291" s="92">
        <f t="shared" ref="B291:G291" si="103">B61-B167</f>
        <v>19484</v>
      </c>
      <c r="C291" s="19">
        <f t="shared" si="103"/>
        <v>17504</v>
      </c>
      <c r="D291" s="19">
        <f t="shared" si="103"/>
        <v>17257</v>
      </c>
      <c r="E291" s="19">
        <f t="shared" si="103"/>
        <v>17107</v>
      </c>
      <c r="F291" s="19">
        <f t="shared" si="103"/>
        <v>17598</v>
      </c>
      <c r="G291" s="19">
        <f t="shared" si="103"/>
        <v>17279</v>
      </c>
    </row>
    <row r="292" spans="1:7" x14ac:dyDescent="0.25">
      <c r="A292" s="92" t="s">
        <v>298</v>
      </c>
      <c r="B292" s="92">
        <f>B291-B168</f>
        <v>19332</v>
      </c>
      <c r="C292" s="19">
        <f t="shared" ref="C292:G292" si="104">C291-C168</f>
        <v>17096</v>
      </c>
      <c r="D292" s="19">
        <f t="shared" si="104"/>
        <v>17050</v>
      </c>
      <c r="E292" s="19">
        <f t="shared" si="104"/>
        <v>17165</v>
      </c>
      <c r="F292" s="19">
        <f t="shared" si="104"/>
        <v>17621</v>
      </c>
      <c r="G292" s="19">
        <f t="shared" si="104"/>
        <v>16838</v>
      </c>
    </row>
    <row r="293" spans="1:7" x14ac:dyDescent="0.25">
      <c r="A293" s="92" t="s">
        <v>379</v>
      </c>
      <c r="B293" s="92">
        <f>B290-B171</f>
        <v>23788</v>
      </c>
      <c r="C293" s="19">
        <f t="shared" ref="C293:G293" si="105">C290-C171</f>
        <v>20765</v>
      </c>
      <c r="D293" s="19">
        <f t="shared" si="105"/>
        <v>21230</v>
      </c>
      <c r="E293" s="19">
        <f t="shared" si="105"/>
        <v>21565</v>
      </c>
      <c r="F293" s="19">
        <f t="shared" si="105"/>
        <v>21414</v>
      </c>
      <c r="G293" s="19">
        <f t="shared" si="105"/>
        <v>22946</v>
      </c>
    </row>
    <row r="294" spans="1:7" x14ac:dyDescent="0.25">
      <c r="A294" s="92" t="s">
        <v>380</v>
      </c>
      <c r="B294" s="92">
        <f>B290/365</f>
        <v>71.936986301369856</v>
      </c>
      <c r="C294" s="19">
        <f t="shared" ref="C294:G295" si="106">C290/365</f>
        <v>71.586301369863008</v>
      </c>
      <c r="D294" s="19">
        <f t="shared" si="106"/>
        <v>71.668493150684938</v>
      </c>
      <c r="E294" s="19">
        <f t="shared" si="106"/>
        <v>68.813698630136983</v>
      </c>
      <c r="F294" s="19">
        <f t="shared" si="106"/>
        <v>65.720547945205482</v>
      </c>
      <c r="G294" s="19">
        <f t="shared" si="106"/>
        <v>64.238356164383561</v>
      </c>
    </row>
    <row r="295" spans="1:7" x14ac:dyDescent="0.25">
      <c r="A295" s="92" t="s">
        <v>381</v>
      </c>
      <c r="B295" s="97">
        <f>B291/365</f>
        <v>53.38082191780822</v>
      </c>
      <c r="C295" s="60">
        <f t="shared" si="106"/>
        <v>47.956164383561642</v>
      </c>
      <c r="D295" s="60">
        <f t="shared" si="106"/>
        <v>47.279452054794518</v>
      </c>
      <c r="E295" s="60">
        <f t="shared" si="106"/>
        <v>46.868493150684934</v>
      </c>
      <c r="F295" s="60">
        <f t="shared" si="106"/>
        <v>48.213698630136989</v>
      </c>
      <c r="G295" s="60">
        <f t="shared" si="106"/>
        <v>47.339726027397262</v>
      </c>
    </row>
    <row r="297" spans="1:7" x14ac:dyDescent="0.25">
      <c r="A297" s="66" t="str">
        <f>A1</f>
        <v>Kraft Heinz Company</v>
      </c>
      <c r="B297" s="75" t="str">
        <f>B1</f>
        <v>Reclassified</v>
      </c>
      <c r="C297" s="75"/>
      <c r="D297" s="75"/>
      <c r="E297" s="75"/>
      <c r="F297" s="75"/>
      <c r="G297" s="75"/>
    </row>
    <row r="298" spans="1:7" x14ac:dyDescent="0.25">
      <c r="A298" s="75" t="s">
        <v>382</v>
      </c>
      <c r="B298" s="75"/>
      <c r="C298" s="75"/>
      <c r="D298" s="75"/>
      <c r="E298" s="75"/>
      <c r="F298" s="75"/>
      <c r="G298" s="75"/>
    </row>
    <row r="299" spans="1:7" x14ac:dyDescent="0.25">
      <c r="A299" s="66" t="str">
        <f>A3</f>
        <v>in millions except per share data</v>
      </c>
      <c r="B299" s="75"/>
      <c r="C299" s="75"/>
      <c r="D299" s="75"/>
      <c r="E299" s="75"/>
      <c r="F299" s="75"/>
      <c r="G299" s="75"/>
    </row>
    <row r="300" spans="1:7" ht="15.75" thickBot="1" x14ac:dyDescent="0.3">
      <c r="A300" s="66" t="str">
        <f>A4</f>
        <v>Year ended near 12/31:</v>
      </c>
      <c r="B300" s="69">
        <f>B215</f>
        <v>2022</v>
      </c>
      <c r="C300" s="69">
        <f t="shared" ref="C300:G300" si="107">C215</f>
        <v>2021</v>
      </c>
      <c r="D300" s="69">
        <f t="shared" si="107"/>
        <v>2020</v>
      </c>
      <c r="E300" s="69">
        <f t="shared" si="107"/>
        <v>2019</v>
      </c>
      <c r="F300" s="69">
        <f t="shared" si="107"/>
        <v>2018</v>
      </c>
      <c r="G300" s="69">
        <f t="shared" si="107"/>
        <v>2017</v>
      </c>
    </row>
    <row r="301" spans="1:7" x14ac:dyDescent="0.25">
      <c r="A301" s="92" t="s">
        <v>383</v>
      </c>
    </row>
    <row r="302" spans="1:7" x14ac:dyDescent="0.25">
      <c r="A302" s="94" t="s">
        <v>384</v>
      </c>
      <c r="B302" s="60">
        <f>B304-B303</f>
        <v>21613</v>
      </c>
      <c r="C302" s="60">
        <f t="shared" ref="C302:G302" si="108">C304-C303</f>
        <v>22131</v>
      </c>
      <c r="D302" s="60">
        <f t="shared" si="108"/>
        <v>21281</v>
      </c>
      <c r="E302" s="60">
        <f t="shared" si="108"/>
        <v>20457</v>
      </c>
      <c r="F302" s="60">
        <f t="shared" si="108"/>
        <v>20518</v>
      </c>
      <c r="G302" s="60">
        <f t="shared" si="108"/>
        <v>22519</v>
      </c>
    </row>
    <row r="303" spans="1:7" x14ac:dyDescent="0.25">
      <c r="A303" s="94" t="s">
        <v>385</v>
      </c>
      <c r="B303" s="63">
        <f t="shared" ref="B303:G303" si="109">B23+B29</f>
        <v>20070</v>
      </c>
      <c r="C303" s="63">
        <f t="shared" si="109"/>
        <v>21815</v>
      </c>
      <c r="D303" s="63">
        <f t="shared" si="109"/>
        <v>28306</v>
      </c>
      <c r="E303" s="63">
        <f t="shared" si="109"/>
        <v>29244</v>
      </c>
      <c r="F303" s="63">
        <f t="shared" si="109"/>
        <v>31168</v>
      </c>
      <c r="G303" s="63">
        <f t="shared" si="109"/>
        <v>31503</v>
      </c>
    </row>
    <row r="304" spans="1:7" x14ac:dyDescent="0.25">
      <c r="A304" s="93" t="s">
        <v>386</v>
      </c>
      <c r="B304" s="19">
        <f>B308-B307</f>
        <v>41683</v>
      </c>
      <c r="C304" s="19">
        <f t="shared" ref="C304:G304" si="110">C308-C307</f>
        <v>43946</v>
      </c>
      <c r="D304" s="19">
        <f t="shared" si="110"/>
        <v>49587</v>
      </c>
      <c r="E304" s="19">
        <f t="shared" si="110"/>
        <v>49701</v>
      </c>
      <c r="F304" s="19">
        <f t="shared" si="110"/>
        <v>51686</v>
      </c>
      <c r="G304" s="19">
        <f t="shared" si="110"/>
        <v>54022</v>
      </c>
    </row>
    <row r="305" spans="1:7" x14ac:dyDescent="0.25">
      <c r="A305" s="94" t="s">
        <v>387</v>
      </c>
      <c r="B305" s="19">
        <v>0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</row>
    <row r="306" spans="1:7" x14ac:dyDescent="0.25">
      <c r="A306" s="94" t="s">
        <v>35</v>
      </c>
      <c r="B306" s="63">
        <f>B307</f>
        <v>48830</v>
      </c>
      <c r="C306" s="63">
        <f t="shared" ref="C306:G306" si="111">C307</f>
        <v>49448</v>
      </c>
      <c r="D306" s="63">
        <f t="shared" si="111"/>
        <v>50243</v>
      </c>
      <c r="E306" s="63">
        <f t="shared" si="111"/>
        <v>51749</v>
      </c>
      <c r="F306" s="63">
        <f t="shared" si="111"/>
        <v>51775</v>
      </c>
      <c r="G306" s="63">
        <f t="shared" si="111"/>
        <v>66070</v>
      </c>
    </row>
    <row r="307" spans="1:7" x14ac:dyDescent="0.25">
      <c r="A307" s="93" t="s">
        <v>106</v>
      </c>
      <c r="B307" s="19">
        <f t="shared" ref="B307:G307" si="112">B34</f>
        <v>48830</v>
      </c>
      <c r="C307" s="19">
        <f t="shared" si="112"/>
        <v>49448</v>
      </c>
      <c r="D307" s="19">
        <f t="shared" si="112"/>
        <v>50243</v>
      </c>
      <c r="E307" s="19">
        <f t="shared" si="112"/>
        <v>51749</v>
      </c>
      <c r="F307" s="19">
        <f t="shared" si="112"/>
        <v>51775</v>
      </c>
      <c r="G307" s="19">
        <f t="shared" si="112"/>
        <v>66070</v>
      </c>
    </row>
    <row r="308" spans="1:7" ht="15.75" thickBot="1" x14ac:dyDescent="0.3">
      <c r="A308" s="93" t="s">
        <v>84</v>
      </c>
      <c r="B308" s="74">
        <f t="shared" ref="B308:G308" si="113">B21</f>
        <v>90513</v>
      </c>
      <c r="C308" s="74">
        <f t="shared" si="113"/>
        <v>93394</v>
      </c>
      <c r="D308" s="74">
        <f t="shared" si="113"/>
        <v>99830</v>
      </c>
      <c r="E308" s="74">
        <f t="shared" si="113"/>
        <v>101450</v>
      </c>
      <c r="F308" s="74">
        <f t="shared" si="113"/>
        <v>103461</v>
      </c>
      <c r="G308" s="74">
        <f t="shared" si="113"/>
        <v>120092</v>
      </c>
    </row>
    <row r="309" spans="1:7" ht="15.75" thickTop="1" x14ac:dyDescent="0.25">
      <c r="A309" s="92" t="s">
        <v>388</v>
      </c>
    </row>
    <row r="310" spans="1:7" x14ac:dyDescent="0.25">
      <c r="A310" s="94" t="s">
        <v>384</v>
      </c>
      <c r="B310" s="83">
        <f>B302/B308</f>
        <v>0.23878337918310077</v>
      </c>
      <c r="C310" s="83">
        <f t="shared" ref="C310:G310" si="114">C302/C308</f>
        <v>0.23696383065293275</v>
      </c>
      <c r="D310" s="83">
        <f t="shared" si="114"/>
        <v>0.21317239306821598</v>
      </c>
      <c r="E310" s="83">
        <f t="shared" si="114"/>
        <v>0.20164613109906357</v>
      </c>
      <c r="F310" s="83">
        <f t="shared" si="114"/>
        <v>0.19831627376499358</v>
      </c>
      <c r="G310" s="83">
        <f t="shared" si="114"/>
        <v>0.18751457216134296</v>
      </c>
    </row>
    <row r="311" spans="1:7" x14ac:dyDescent="0.25">
      <c r="A311" s="94" t="s">
        <v>385</v>
      </c>
      <c r="B311" s="84">
        <f>B303/B308</f>
        <v>0.22173610420602566</v>
      </c>
      <c r="C311" s="84">
        <f t="shared" ref="C311:G311" si="115">C303/C308</f>
        <v>0.23358031565196907</v>
      </c>
      <c r="D311" s="84">
        <f t="shared" si="115"/>
        <v>0.28354202143644197</v>
      </c>
      <c r="E311" s="84">
        <f t="shared" si="115"/>
        <v>0.28826022671266632</v>
      </c>
      <c r="F311" s="84">
        <f t="shared" si="115"/>
        <v>0.30125361247233257</v>
      </c>
      <c r="G311" s="84">
        <f t="shared" si="115"/>
        <v>0.26232388502148352</v>
      </c>
    </row>
    <row r="312" spans="1:7" x14ac:dyDescent="0.25">
      <c r="A312" s="93" t="s">
        <v>386</v>
      </c>
      <c r="B312" s="83">
        <f>B304/B308</f>
        <v>0.46051948338912641</v>
      </c>
      <c r="C312" s="83">
        <f t="shared" ref="C312:G312" si="116">C304/C308</f>
        <v>0.47054414630490182</v>
      </c>
      <c r="D312" s="83">
        <f t="shared" si="116"/>
        <v>0.49671441450465792</v>
      </c>
      <c r="E312" s="83">
        <f t="shared" si="116"/>
        <v>0.48990635781172992</v>
      </c>
      <c r="F312" s="83">
        <f t="shared" si="116"/>
        <v>0.49956988623732612</v>
      </c>
      <c r="G312" s="83">
        <f t="shared" si="116"/>
        <v>0.4498384571828265</v>
      </c>
    </row>
    <row r="313" spans="1:7" x14ac:dyDescent="0.25">
      <c r="A313" s="94" t="s">
        <v>387</v>
      </c>
      <c r="B313" s="83">
        <f>B305/B308</f>
        <v>0</v>
      </c>
      <c r="C313" s="83">
        <f t="shared" ref="C313:G313" si="117">C305/C308</f>
        <v>0</v>
      </c>
      <c r="D313" s="83">
        <f t="shared" si="117"/>
        <v>0</v>
      </c>
      <c r="E313" s="83">
        <f t="shared" si="117"/>
        <v>0</v>
      </c>
      <c r="F313" s="83">
        <f t="shared" si="117"/>
        <v>0</v>
      </c>
      <c r="G313" s="83">
        <f t="shared" si="117"/>
        <v>0</v>
      </c>
    </row>
    <row r="314" spans="1:7" x14ac:dyDescent="0.25">
      <c r="A314" s="94" t="s">
        <v>35</v>
      </c>
      <c r="B314" s="84">
        <f>B306/B308</f>
        <v>0.53948051661087359</v>
      </c>
      <c r="C314" s="84">
        <f t="shared" ref="C314:G314" si="118">C306/C308</f>
        <v>0.52945585369509818</v>
      </c>
      <c r="D314" s="84">
        <f t="shared" si="118"/>
        <v>0.50328558549534208</v>
      </c>
      <c r="E314" s="84">
        <f t="shared" si="118"/>
        <v>0.51009364218827014</v>
      </c>
      <c r="F314" s="84">
        <f t="shared" si="118"/>
        <v>0.50043011376267388</v>
      </c>
      <c r="G314" s="84">
        <f t="shared" si="118"/>
        <v>0.55016154281717355</v>
      </c>
    </row>
    <row r="315" spans="1:7" x14ac:dyDescent="0.25">
      <c r="A315" s="93" t="s">
        <v>106</v>
      </c>
      <c r="B315" s="83">
        <f>B307/B308</f>
        <v>0.53948051661087359</v>
      </c>
      <c r="C315" s="83">
        <f t="shared" ref="C315:G315" si="119">C307/C308</f>
        <v>0.52945585369509818</v>
      </c>
      <c r="D315" s="83">
        <f t="shared" si="119"/>
        <v>0.50328558549534208</v>
      </c>
      <c r="E315" s="83">
        <f t="shared" si="119"/>
        <v>0.51009364218827014</v>
      </c>
      <c r="F315" s="83">
        <f t="shared" si="119"/>
        <v>0.50043011376267388</v>
      </c>
      <c r="G315" s="83">
        <f t="shared" si="119"/>
        <v>0.55016154281717355</v>
      </c>
    </row>
    <row r="316" spans="1:7" ht="15.75" thickBot="1" x14ac:dyDescent="0.3">
      <c r="A316" s="93" t="s">
        <v>84</v>
      </c>
      <c r="B316" s="86">
        <f>B308/B308</f>
        <v>1</v>
      </c>
      <c r="C316" s="86">
        <f t="shared" ref="C316:G316" si="120">C308/C308</f>
        <v>1</v>
      </c>
      <c r="D316" s="86">
        <f t="shared" si="120"/>
        <v>1</v>
      </c>
      <c r="E316" s="86">
        <f t="shared" si="120"/>
        <v>1</v>
      </c>
      <c r="F316" s="86">
        <f t="shared" si="120"/>
        <v>1</v>
      </c>
      <c r="G316" s="86">
        <f t="shared" si="120"/>
        <v>1</v>
      </c>
    </row>
    <row r="317" spans="1:7" ht="15.75" thickTop="1" x14ac:dyDescent="0.25">
      <c r="A317" s="92" t="s">
        <v>389</v>
      </c>
    </row>
    <row r="318" spans="1:7" x14ac:dyDescent="0.25">
      <c r="A318" s="94" t="s">
        <v>385</v>
      </c>
      <c r="B318" s="60">
        <f>B303</f>
        <v>20070</v>
      </c>
      <c r="C318" s="60">
        <f t="shared" ref="C318:G318" si="121">C303</f>
        <v>21815</v>
      </c>
      <c r="D318" s="60">
        <f t="shared" si="121"/>
        <v>28306</v>
      </c>
      <c r="E318" s="60">
        <f t="shared" si="121"/>
        <v>29244</v>
      </c>
      <c r="F318" s="60">
        <f t="shared" si="121"/>
        <v>31168</v>
      </c>
      <c r="G318" s="60">
        <f t="shared" si="121"/>
        <v>31503</v>
      </c>
    </row>
    <row r="319" spans="1:7" x14ac:dyDescent="0.25">
      <c r="A319" s="94" t="s">
        <v>111</v>
      </c>
      <c r="B319" s="19">
        <f t="shared" ref="B319:G319" si="122">B41</f>
        <v>46709.25</v>
      </c>
      <c r="C319" s="19">
        <f t="shared" si="122"/>
        <v>48005.279999999999</v>
      </c>
      <c r="D319" s="19">
        <f t="shared" si="122"/>
        <v>44492.740000000005</v>
      </c>
      <c r="E319" s="19">
        <f t="shared" si="122"/>
        <v>30244.17</v>
      </c>
      <c r="F319" s="19">
        <f t="shared" si="122"/>
        <v>40491.799999999996</v>
      </c>
      <c r="G319" s="19">
        <f t="shared" si="122"/>
        <v>81843.66</v>
      </c>
    </row>
    <row r="320" spans="1:7" ht="15.75" thickBot="1" x14ac:dyDescent="0.3">
      <c r="A320" s="93" t="s">
        <v>390</v>
      </c>
      <c r="B320" s="74">
        <f>B318+B319</f>
        <v>66779.25</v>
      </c>
      <c r="C320" s="74">
        <f t="shared" ref="C320:G320" si="123">C318+C319</f>
        <v>69820.28</v>
      </c>
      <c r="D320" s="74">
        <f t="shared" si="123"/>
        <v>72798.740000000005</v>
      </c>
      <c r="E320" s="74">
        <f t="shared" si="123"/>
        <v>59488.17</v>
      </c>
      <c r="F320" s="74">
        <f t="shared" si="123"/>
        <v>71659.799999999988</v>
      </c>
      <c r="G320" s="74">
        <f t="shared" si="123"/>
        <v>113346.66</v>
      </c>
    </row>
    <row r="321" spans="1:7" ht="15.75" thickTop="1" x14ac:dyDescent="0.25">
      <c r="A321" s="92" t="s">
        <v>391</v>
      </c>
    </row>
    <row r="322" spans="1:7" x14ac:dyDescent="0.25">
      <c r="A322" s="94" t="s">
        <v>385</v>
      </c>
      <c r="B322" s="83">
        <f>B318/B320</f>
        <v>0.30054245892249465</v>
      </c>
      <c r="C322" s="83">
        <f t="shared" ref="C322:G322" si="124">C318/C320</f>
        <v>0.31244503745903052</v>
      </c>
      <c r="D322" s="83">
        <f t="shared" si="124"/>
        <v>0.3888254109892561</v>
      </c>
      <c r="E322" s="83">
        <f t="shared" si="124"/>
        <v>0.49159353868172445</v>
      </c>
      <c r="F322" s="83">
        <f t="shared" si="124"/>
        <v>0.43494399928551303</v>
      </c>
      <c r="G322" s="83">
        <f t="shared" si="124"/>
        <v>0.27793496517674188</v>
      </c>
    </row>
    <row r="323" spans="1:7" x14ac:dyDescent="0.25">
      <c r="A323" s="94" t="s">
        <v>111</v>
      </c>
      <c r="B323" s="83">
        <f>B319/B320</f>
        <v>0.69945754107750535</v>
      </c>
      <c r="C323" s="83">
        <f t="shared" ref="C323:G323" si="125">C319/C320</f>
        <v>0.68755496254096948</v>
      </c>
      <c r="D323" s="83">
        <f t="shared" si="125"/>
        <v>0.61117458901074384</v>
      </c>
      <c r="E323" s="83">
        <f t="shared" si="125"/>
        <v>0.50840646131827549</v>
      </c>
      <c r="F323" s="83">
        <f t="shared" si="125"/>
        <v>0.56505600071448714</v>
      </c>
      <c r="G323" s="83">
        <f t="shared" si="125"/>
        <v>0.72206503482325812</v>
      </c>
    </row>
    <row r="324" spans="1:7" ht="15.75" thickBot="1" x14ac:dyDescent="0.3">
      <c r="A324" s="93" t="s">
        <v>390</v>
      </c>
      <c r="B324" s="86">
        <f>B320/B320</f>
        <v>1</v>
      </c>
      <c r="C324" s="86">
        <f t="shared" ref="C324:G324" si="126">C320/C320</f>
        <v>1</v>
      </c>
      <c r="D324" s="86">
        <f t="shared" si="126"/>
        <v>1</v>
      </c>
      <c r="E324" s="86">
        <f t="shared" si="126"/>
        <v>1</v>
      </c>
      <c r="F324" s="86">
        <f t="shared" si="126"/>
        <v>1</v>
      </c>
      <c r="G324" s="86">
        <f t="shared" si="126"/>
        <v>1</v>
      </c>
    </row>
    <row r="325" spans="1:7" ht="15.75" thickTop="1" x14ac:dyDescent="0.25">
      <c r="A325" s="92"/>
    </row>
    <row r="326" spans="1:7" x14ac:dyDescent="0.25">
      <c r="A326" s="92" t="s">
        <v>392</v>
      </c>
      <c r="B326" s="98">
        <f>AVERAGE(B308:C308)/AVERAGE(B307:C307)</f>
        <v>1.8712936771200066</v>
      </c>
      <c r="C326" s="98">
        <f t="shared" ref="C326:F326" si="127">AVERAGE(C308:D308)/AVERAGE(C307:D307)</f>
        <v>1.938229128005537</v>
      </c>
      <c r="D326" s="98">
        <f t="shared" si="127"/>
        <v>1.9734881167150364</v>
      </c>
      <c r="E326" s="98">
        <f t="shared" si="127"/>
        <v>1.9793574436845562</v>
      </c>
      <c r="F326" s="98">
        <f t="shared" si="127"/>
        <v>1.8970087827230684</v>
      </c>
      <c r="G326" s="98"/>
    </row>
    <row r="327" spans="1:7" x14ac:dyDescent="0.25">
      <c r="A327" s="92" t="s">
        <v>393</v>
      </c>
      <c r="B327" s="98"/>
      <c r="C327" s="98"/>
      <c r="D327" s="98"/>
      <c r="E327" s="98"/>
      <c r="F327" s="98"/>
      <c r="G327" s="98"/>
    </row>
    <row r="328" spans="1:7" x14ac:dyDescent="0.25">
      <c r="A328" s="93" t="s">
        <v>394</v>
      </c>
      <c r="B328" s="98">
        <f t="shared" ref="B328:G328" si="128">B69/B70</f>
        <v>3.9457111834961998</v>
      </c>
      <c r="C328" s="98">
        <f t="shared" si="128"/>
        <v>1.6902784562774793</v>
      </c>
      <c r="D328" s="98">
        <f t="shared" si="128"/>
        <v>1.5265423242467719</v>
      </c>
      <c r="E328" s="98">
        <f t="shared" si="128"/>
        <v>2.2556943423952975</v>
      </c>
      <c r="F328" s="98">
        <f t="shared" si="128"/>
        <v>-7.9478193146417446</v>
      </c>
      <c r="G328" s="98">
        <f t="shared" si="128"/>
        <v>4.9084278768233389</v>
      </c>
    </row>
    <row r="329" spans="1:7" x14ac:dyDescent="0.25">
      <c r="A329" s="93" t="s">
        <v>395</v>
      </c>
      <c r="B329" s="98">
        <f t="shared" ref="B329:G329" si="129">(B69-B180)/(B70-B180)</f>
        <v>3.4798903107861059</v>
      </c>
      <c r="C329" s="98">
        <f t="shared" si="129"/>
        <v>1.6356275303643724</v>
      </c>
      <c r="D329" s="98">
        <f t="shared" si="129"/>
        <v>1.4684109763880024</v>
      </c>
      <c r="E329" s="98">
        <f t="shared" si="129"/>
        <v>2.1011597938144329</v>
      </c>
      <c r="F329" s="98">
        <f t="shared" si="129"/>
        <v>-6.7419137466307282</v>
      </c>
      <c r="G329" s="98">
        <f t="shared" si="129"/>
        <v>4.2631935047361296</v>
      </c>
    </row>
    <row r="330" spans="1:7" x14ac:dyDescent="0.25">
      <c r="A330" s="93" t="s">
        <v>396</v>
      </c>
      <c r="B330" s="98">
        <f t="shared" ref="B330:G330" si="130">B303/B90</f>
        <v>4.1682242990654208</v>
      </c>
      <c r="C330" s="98">
        <f t="shared" si="130"/>
        <v>4.688373092628412</v>
      </c>
      <c r="D330" s="98">
        <f t="shared" si="130"/>
        <v>8.3547815820543097</v>
      </c>
      <c r="E330" s="98">
        <f t="shared" si="130"/>
        <v>5.8278198485452375</v>
      </c>
      <c r="F330" s="98">
        <f t="shared" si="130"/>
        <v>-3.4661921708185055</v>
      </c>
      <c r="G330" s="98">
        <f t="shared" si="130"/>
        <v>4.0785862247540132</v>
      </c>
    </row>
    <row r="331" spans="1:7" x14ac:dyDescent="0.25">
      <c r="A331" s="92"/>
      <c r="B331" s="98"/>
      <c r="C331" s="98"/>
      <c r="D331" s="98"/>
      <c r="E331" s="98"/>
      <c r="F331" s="98"/>
      <c r="G331" s="98"/>
    </row>
    <row r="332" spans="1:7" x14ac:dyDescent="0.25">
      <c r="A332" s="92" t="s">
        <v>397</v>
      </c>
      <c r="B332" s="99">
        <f t="shared" ref="B332:G332" si="131">-B38*B40</f>
        <v>686.34</v>
      </c>
      <c r="C332" s="99">
        <f t="shared" si="131"/>
        <v>431.41999999999996</v>
      </c>
      <c r="D332" s="99">
        <f t="shared" si="131"/>
        <v>181.9</v>
      </c>
      <c r="E332" s="99">
        <f t="shared" si="131"/>
        <v>74.31</v>
      </c>
      <c r="F332" s="99">
        <f t="shared" si="131"/>
        <v>132.76</v>
      </c>
      <c r="G332" s="99">
        <f t="shared" si="131"/>
        <v>134.28</v>
      </c>
    </row>
    <row r="334" spans="1:7" x14ac:dyDescent="0.25">
      <c r="A334" s="75" t="str">
        <f>A1</f>
        <v>Kraft Heinz Company</v>
      </c>
      <c r="B334" s="75" t="str">
        <f>B1</f>
        <v>Reclassified</v>
      </c>
      <c r="C334" s="75"/>
      <c r="D334" s="75"/>
      <c r="E334" s="75"/>
      <c r="F334" s="75"/>
      <c r="G334" s="75"/>
    </row>
    <row r="335" spans="1:7" x14ac:dyDescent="0.25">
      <c r="A335" s="75" t="s">
        <v>402</v>
      </c>
      <c r="B335" s="75"/>
      <c r="C335" s="75"/>
      <c r="D335" s="75"/>
      <c r="E335" s="75"/>
      <c r="F335" s="75"/>
      <c r="G335" s="75"/>
    </row>
    <row r="336" spans="1:7" x14ac:dyDescent="0.25">
      <c r="A336" s="75" t="str">
        <f>+A10</f>
        <v>Other current assets</v>
      </c>
      <c r="B336" s="75"/>
      <c r="C336" s="75"/>
      <c r="D336" s="75"/>
      <c r="E336" s="75"/>
      <c r="F336" s="75"/>
      <c r="G336" s="75"/>
    </row>
    <row r="337" spans="1:7" ht="15.75" thickBot="1" x14ac:dyDescent="0.3">
      <c r="A337" s="75" t="str">
        <f>+A11</f>
        <v>Total current assets</v>
      </c>
      <c r="B337" s="69">
        <v>2022</v>
      </c>
      <c r="C337" s="69">
        <v>2021</v>
      </c>
      <c r="D337" s="69">
        <v>2020</v>
      </c>
      <c r="E337" s="69">
        <v>2019</v>
      </c>
      <c r="F337" s="69">
        <v>2018</v>
      </c>
      <c r="G337" s="69">
        <v>2017</v>
      </c>
    </row>
    <row r="338" spans="1:7" x14ac:dyDescent="0.25">
      <c r="A338" s="92" t="s">
        <v>403</v>
      </c>
    </row>
    <row r="339" spans="1:7" x14ac:dyDescent="0.25">
      <c r="A339" s="93" t="s">
        <v>404</v>
      </c>
      <c r="B339" s="83">
        <f t="shared" ref="B339:G339" si="132">B69/B60</f>
        <v>0.13720974136303568</v>
      </c>
      <c r="C339" s="83">
        <f t="shared" si="132"/>
        <v>0.13286229936256816</v>
      </c>
      <c r="D339" s="83">
        <f t="shared" si="132"/>
        <v>8.1267901470307422E-2</v>
      </c>
      <c r="E339" s="83">
        <f t="shared" si="132"/>
        <v>0.12291308003363094</v>
      </c>
      <c r="F339" s="83">
        <f t="shared" si="132"/>
        <v>-0.38849550784224152</v>
      </c>
      <c r="G339" s="83">
        <f t="shared" si="132"/>
        <v>0.23228255867464334</v>
      </c>
    </row>
    <row r="340" spans="1:7" x14ac:dyDescent="0.25">
      <c r="A340" s="94" t="s">
        <v>405</v>
      </c>
      <c r="B340" s="84">
        <f t="shared" ref="B340:G340" si="133">B72/B69</f>
        <v>0.81618051733626862</v>
      </c>
      <c r="C340" s="84">
        <f t="shared" si="133"/>
        <v>0.4936416184971098</v>
      </c>
      <c r="D340" s="84">
        <f t="shared" si="133"/>
        <v>0.48402255639097747</v>
      </c>
      <c r="E340" s="84">
        <f t="shared" si="133"/>
        <v>0.86677524429967423</v>
      </c>
      <c r="F340" s="84">
        <f t="shared" si="133"/>
        <v>1.1093581577658012</v>
      </c>
      <c r="G340" s="84">
        <f t="shared" si="133"/>
        <v>0.89978537229651645</v>
      </c>
    </row>
    <row r="341" spans="1:7" x14ac:dyDescent="0.25">
      <c r="A341" s="93" t="s">
        <v>406</v>
      </c>
      <c r="B341" s="83">
        <f t="shared" ref="B341:G341" si="134">B72/B60</f>
        <v>0.11198791768925807</v>
      </c>
      <c r="C341" s="83">
        <f t="shared" si="134"/>
        <v>6.5586360494585674E-2</v>
      </c>
      <c r="D341" s="83">
        <f t="shared" si="134"/>
        <v>3.9335497422188274E-2</v>
      </c>
      <c r="E341" s="83">
        <f t="shared" si="134"/>
        <v>0.10653801497377588</v>
      </c>
      <c r="F341" s="83">
        <f t="shared" si="134"/>
        <v>-0.43098066088015835</v>
      </c>
      <c r="G341" s="83">
        <f t="shared" si="134"/>
        <v>0.2090044485350514</v>
      </c>
    </row>
    <row r="342" spans="1:7" x14ac:dyDescent="0.25">
      <c r="A342" s="94" t="s">
        <v>407</v>
      </c>
      <c r="B342" s="84">
        <f t="shared" ref="B342:G342" si="135">B76/B72</f>
        <v>0.79669588671611602</v>
      </c>
      <c r="C342" s="84">
        <f t="shared" si="135"/>
        <v>0.59250585480093676</v>
      </c>
      <c r="D342" s="84">
        <f t="shared" si="135"/>
        <v>0.34563106796116505</v>
      </c>
      <c r="E342" s="84">
        <f t="shared" si="135"/>
        <v>0.72717023675310033</v>
      </c>
      <c r="F342" s="84">
        <f t="shared" si="135"/>
        <v>0.90027382740040629</v>
      </c>
      <c r="G342" s="84">
        <f t="shared" si="135"/>
        <v>2.0075229357798166</v>
      </c>
    </row>
    <row r="343" spans="1:7" x14ac:dyDescent="0.25">
      <c r="A343" s="93" t="s">
        <v>222</v>
      </c>
      <c r="B343" s="83">
        <f t="shared" ref="B343:G343" si="136">B76/B60</f>
        <v>8.9220313384934871E-2</v>
      </c>
      <c r="C343" s="83">
        <f t="shared" si="136"/>
        <v>3.8860302588126873E-2</v>
      </c>
      <c r="D343" s="83">
        <f t="shared" si="136"/>
        <v>1.3595569982814588E-2</v>
      </c>
      <c r="E343" s="83">
        <f t="shared" si="136"/>
        <v>7.7471273571685956E-2</v>
      </c>
      <c r="F343" s="83">
        <f t="shared" si="136"/>
        <v>-0.38800060910613676</v>
      </c>
      <c r="G343" s="83">
        <f t="shared" si="136"/>
        <v>0.41958122411412796</v>
      </c>
    </row>
    <row r="344" spans="1:7" x14ac:dyDescent="0.25">
      <c r="A344" s="94" t="s">
        <v>408</v>
      </c>
      <c r="B344" s="105">
        <f>B60/AVERAGE(B21:C21)</f>
        <v>0.28802601314794979</v>
      </c>
      <c r="C344" s="105">
        <f>C60/AVERAGE(C21:D21)</f>
        <v>0.26955243655032501</v>
      </c>
      <c r="D344" s="105">
        <f>D60/AVERAGE(D21:E21)</f>
        <v>0.26018481717011127</v>
      </c>
      <c r="E344" s="105">
        <f>E60/AVERAGE(E21:F21)</f>
        <v>0.24378388666299028</v>
      </c>
      <c r="F344" s="105">
        <f>F60/AVERAGE(F21:G21)</f>
        <v>0.23500467450671653</v>
      </c>
    </row>
    <row r="345" spans="1:7" x14ac:dyDescent="0.25">
      <c r="A345" s="93" t="s">
        <v>409</v>
      </c>
      <c r="B345" s="83">
        <f>B76/AVERAGE(B21:C21)</f>
        <v>2.569777115607345E-2</v>
      </c>
      <c r="C345" s="83">
        <f>C76/AVERAGE(C21:D21)</f>
        <v>1.0474889247712499E-2</v>
      </c>
      <c r="D345" s="83">
        <f>D76/AVERAGE(D21:E21)</f>
        <v>3.5373608903020667E-3</v>
      </c>
      <c r="E345" s="83">
        <f>E76/AVERAGE(E21:F21)</f>
        <v>1.8886248176037401E-2</v>
      </c>
      <c r="F345" s="83">
        <f>F76/AVERAGE(F21:G21)</f>
        <v>-9.1181956851395421E-2</v>
      </c>
    </row>
    <row r="346" spans="1:7" x14ac:dyDescent="0.25">
      <c r="A346" s="94" t="s">
        <v>410</v>
      </c>
      <c r="B346" s="92">
        <f>AVERAGE(B308:C308)/AVERAGE(B307:C307)</f>
        <v>1.8712936771200066</v>
      </c>
      <c r="C346" s="92">
        <f t="shared" ref="C346:F346" si="137">AVERAGE(C308:D308)/AVERAGE(C307:D307)</f>
        <v>1.938229128005537</v>
      </c>
      <c r="D346" s="92">
        <f t="shared" si="137"/>
        <v>1.9734881167150364</v>
      </c>
      <c r="E346" s="92">
        <f t="shared" si="137"/>
        <v>1.9793574436845562</v>
      </c>
      <c r="F346" s="92">
        <f t="shared" si="137"/>
        <v>1.8970087827230684</v>
      </c>
    </row>
    <row r="347" spans="1:7" ht="15.75" thickBot="1" x14ac:dyDescent="0.3">
      <c r="A347" s="93" t="s">
        <v>411</v>
      </c>
      <c r="B347" s="86">
        <f>B76/AVERAGE(B34:C34)</f>
        <v>4.8088076680437131E-2</v>
      </c>
      <c r="C347" s="86">
        <f>C76/AVERAGE(C34:D34)</f>
        <v>2.0302735452548376E-2</v>
      </c>
      <c r="D347" s="86">
        <f>D76/AVERAGE(D34:E34)</f>
        <v>6.9809396815436508E-3</v>
      </c>
      <c r="E347" s="86">
        <f>E76/AVERAGE(E34:F34)</f>
        <v>3.7382635910513502E-2</v>
      </c>
      <c r="F347" s="86">
        <f>F76/AVERAGE(F34:G34)</f>
        <v>-0.17297297297297298</v>
      </c>
    </row>
    <row r="348" spans="1:7" ht="15.75" thickTop="1" x14ac:dyDescent="0.25">
      <c r="A348" s="92" t="s">
        <v>412</v>
      </c>
    </row>
    <row r="349" spans="1:7" x14ac:dyDescent="0.25">
      <c r="A349" s="93" t="s">
        <v>413</v>
      </c>
      <c r="B349" s="83">
        <f t="shared" ref="B349:G349" si="138">B62/B60</f>
        <v>0.30666414951859544</v>
      </c>
      <c r="C349" s="83">
        <f t="shared" si="138"/>
        <v>0.33338453267798174</v>
      </c>
      <c r="D349" s="83">
        <f t="shared" si="138"/>
        <v>0.35046782509070079</v>
      </c>
      <c r="E349" s="83">
        <f t="shared" si="138"/>
        <v>0.32618008567882451</v>
      </c>
      <c r="F349" s="83">
        <f t="shared" si="138"/>
        <v>0.33961474036850919</v>
      </c>
      <c r="G349" s="83">
        <f t="shared" si="138"/>
        <v>0.34641049240681088</v>
      </c>
    </row>
    <row r="350" spans="1:7" x14ac:dyDescent="0.25">
      <c r="A350" s="94" t="s">
        <v>219</v>
      </c>
      <c r="B350" s="84">
        <f t="shared" ref="B350:G350" si="139">B69/B62</f>
        <v>0.44742674218172862</v>
      </c>
      <c r="C350" s="84">
        <f t="shared" si="139"/>
        <v>0.39852568532596178</v>
      </c>
      <c r="D350" s="84">
        <f t="shared" si="139"/>
        <v>0.2318840579710145</v>
      </c>
      <c r="E350" s="84">
        <f t="shared" si="139"/>
        <v>0.37682582545722354</v>
      </c>
      <c r="F350" s="84">
        <f t="shared" si="139"/>
        <v>-1.1439300526846765</v>
      </c>
      <c r="G350" s="84">
        <f t="shared" si="139"/>
        <v>0.6705413483892394</v>
      </c>
    </row>
    <row r="351" spans="1:7" x14ac:dyDescent="0.25">
      <c r="A351" s="93" t="s">
        <v>404</v>
      </c>
      <c r="B351" s="83">
        <f>B349*B350</f>
        <v>0.13720974136303568</v>
      </c>
      <c r="C351" s="83">
        <f t="shared" ref="C351:G351" si="140">C349*C350</f>
        <v>0.13286229936256816</v>
      </c>
      <c r="D351" s="83">
        <f t="shared" si="140"/>
        <v>8.1267901470307435E-2</v>
      </c>
      <c r="E351" s="83">
        <f t="shared" si="140"/>
        <v>0.12291308003363094</v>
      </c>
      <c r="F351" s="83">
        <f t="shared" si="140"/>
        <v>-0.38849550784224146</v>
      </c>
      <c r="G351" s="83">
        <f t="shared" si="140"/>
        <v>0.23228255867464334</v>
      </c>
    </row>
    <row r="352" spans="1:7" x14ac:dyDescent="0.25">
      <c r="A352" s="94" t="s">
        <v>414</v>
      </c>
      <c r="B352" s="83">
        <f t="shared" ref="B352:G352" si="141">B76/B69</f>
        <v>0.65024766097963671</v>
      </c>
      <c r="C352" s="83">
        <f t="shared" si="141"/>
        <v>0.292485549132948</v>
      </c>
      <c r="D352" s="83">
        <f t="shared" si="141"/>
        <v>0.16729323308270677</v>
      </c>
      <c r="E352" s="83">
        <f t="shared" si="141"/>
        <v>0.63029315960912047</v>
      </c>
      <c r="F352" s="83">
        <f t="shared" si="141"/>
        <v>0.99872611464968153</v>
      </c>
      <c r="G352" s="83">
        <f t="shared" si="141"/>
        <v>1.8063397721644379</v>
      </c>
    </row>
    <row r="353" spans="1:8" ht="15.75" thickBot="1" x14ac:dyDescent="0.3">
      <c r="A353" s="93" t="s">
        <v>222</v>
      </c>
      <c r="B353" s="86">
        <f>B351*B352</f>
        <v>8.9220313384934857E-2</v>
      </c>
      <c r="C353" s="86">
        <f t="shared" ref="C353:G353" si="142">C351*C352</f>
        <v>3.8860302588126873E-2</v>
      </c>
      <c r="D353" s="86">
        <f t="shared" si="142"/>
        <v>1.359556998281459E-2</v>
      </c>
      <c r="E353" s="86">
        <f t="shared" si="142"/>
        <v>7.7471273571685942E-2</v>
      </c>
      <c r="F353" s="86">
        <f t="shared" si="142"/>
        <v>-0.38800060910613671</v>
      </c>
      <c r="G353" s="86">
        <f t="shared" si="142"/>
        <v>0.4195812241141279</v>
      </c>
    </row>
    <row r="354" spans="1:8" ht="15.75" thickTop="1" x14ac:dyDescent="0.25">
      <c r="A354" s="92"/>
      <c r="B354" s="19">
        <f>B343-B353</f>
        <v>0</v>
      </c>
      <c r="C354" s="19">
        <f t="shared" ref="C354:G354" si="143">C343-C353</f>
        <v>0</v>
      </c>
      <c r="D354" s="19">
        <f t="shared" si="143"/>
        <v>0</v>
      </c>
      <c r="E354" s="19">
        <f t="shared" si="143"/>
        <v>0</v>
      </c>
      <c r="F354" s="19">
        <f t="shared" si="143"/>
        <v>0</v>
      </c>
      <c r="G354" s="19">
        <f t="shared" si="143"/>
        <v>0</v>
      </c>
    </row>
    <row r="355" spans="1:8" x14ac:dyDescent="0.25">
      <c r="A355" s="92" t="s">
        <v>286</v>
      </c>
      <c r="B355" s="83">
        <f t="shared" ref="B355:G355" si="144">B73/B72</f>
        <v>0.20161834120026972</v>
      </c>
      <c r="C355" s="83">
        <f t="shared" si="144"/>
        <v>0.40046838407494145</v>
      </c>
      <c r="D355" s="83">
        <f t="shared" si="144"/>
        <v>0.64951456310679612</v>
      </c>
      <c r="E355" s="83">
        <f t="shared" si="144"/>
        <v>0.27358136039083053</v>
      </c>
      <c r="F355" s="83">
        <f t="shared" si="144"/>
        <v>9.4249624591467185E-2</v>
      </c>
      <c r="G355" s="83">
        <f t="shared" si="144"/>
        <v>-1.0058715596330274</v>
      </c>
      <c r="H355" s="83"/>
    </row>
    <row r="356" spans="1:8" x14ac:dyDescent="0.25">
      <c r="A356" s="92"/>
    </row>
    <row r="357" spans="1:8" x14ac:dyDescent="0.25">
      <c r="A357" s="92" t="s">
        <v>415</v>
      </c>
      <c r="B357" s="92">
        <f>B60/AVERAGE(B265:C265)</f>
        <v>-44.104912572855952</v>
      </c>
      <c r="C357" s="92">
        <f>C60/AVERAGE(C265:D265)</f>
        <v>19.354886659234484</v>
      </c>
      <c r="D357" s="92">
        <f>D60/AVERAGE(D265:E265)</f>
        <v>17.556151525310092</v>
      </c>
      <c r="E357" s="92">
        <f>E60/AVERAGE(E265:F265)</f>
        <v>27.845039018952061</v>
      </c>
      <c r="F357" s="92">
        <f>F60/AVERAGE(F265:G265)</f>
        <v>-38.041998551774078</v>
      </c>
      <c r="G357" s="92"/>
    </row>
    <row r="358" spans="1:8" x14ac:dyDescent="0.25">
      <c r="A358" s="92" t="s">
        <v>416</v>
      </c>
      <c r="B358" s="92">
        <f>B60/AVERAGE(B17:C17)</f>
        <v>3.9103794478074709</v>
      </c>
      <c r="C358" s="92">
        <f>C60/AVERAGE(C17:D17)</f>
        <v>3.8067533986259319</v>
      </c>
      <c r="D358" s="92">
        <f>D60/AVERAGE(D17:E17)</f>
        <v>3.7592419783217284</v>
      </c>
      <c r="E358" s="92">
        <f>E60/AVERAGE(E17:F17)</f>
        <v>3.5345644944456236</v>
      </c>
      <c r="F358" s="92">
        <f>F60/AVERAGE(F17:G17)</f>
        <v>3.7156800339486526</v>
      </c>
      <c r="G358" s="92"/>
    </row>
    <row r="359" spans="1:8" x14ac:dyDescent="0.25">
      <c r="A359" s="92"/>
    </row>
    <row r="360" spans="1:8" x14ac:dyDescent="0.25">
      <c r="A360" s="92" t="s">
        <v>417</v>
      </c>
      <c r="B360" s="60">
        <f t="shared" ref="B360:G360" si="145">B152+B69</f>
        <v>4567</v>
      </c>
      <c r="C360" s="60">
        <f t="shared" si="145"/>
        <v>4370</v>
      </c>
      <c r="D360" s="60">
        <f t="shared" si="145"/>
        <v>3097</v>
      </c>
      <c r="E360" s="60">
        <f t="shared" si="145"/>
        <v>4064</v>
      </c>
      <c r="F360" s="60">
        <f t="shared" si="145"/>
        <v>-9222</v>
      </c>
      <c r="G360" s="60">
        <f t="shared" si="145"/>
        <v>7088</v>
      </c>
    </row>
    <row r="361" spans="1:8" x14ac:dyDescent="0.25">
      <c r="A361" s="92" t="s">
        <v>418</v>
      </c>
      <c r="B361" s="60">
        <f t="shared" ref="B361:G361" si="146">B90</f>
        <v>4815</v>
      </c>
      <c r="C361" s="60">
        <f t="shared" si="146"/>
        <v>4653</v>
      </c>
      <c r="D361" s="60">
        <f t="shared" si="146"/>
        <v>3388</v>
      </c>
      <c r="E361" s="60">
        <f t="shared" si="146"/>
        <v>5018</v>
      </c>
      <c r="F361" s="60">
        <f t="shared" si="146"/>
        <v>-8992</v>
      </c>
      <c r="G361" s="60">
        <f t="shared" si="146"/>
        <v>7724</v>
      </c>
    </row>
    <row r="362" spans="1:8" x14ac:dyDescent="0.25">
      <c r="A362" s="92"/>
      <c r="B362" s="60"/>
      <c r="C362" s="60"/>
      <c r="D362" s="60"/>
      <c r="E362" s="60"/>
      <c r="F362" s="60"/>
      <c r="G362" s="60"/>
    </row>
    <row r="363" spans="1:8" s="53" customFormat="1" x14ac:dyDescent="0.25">
      <c r="A363" s="66" t="str">
        <f>+A1</f>
        <v>Kraft Heinz Company</v>
      </c>
      <c r="B363" s="66"/>
      <c r="C363" s="66"/>
      <c r="D363" s="66"/>
      <c r="E363" s="66"/>
      <c r="F363" s="66"/>
      <c r="G363" s="66"/>
    </row>
    <row r="364" spans="1:8" s="53" customFormat="1" x14ac:dyDescent="0.25">
      <c r="A364" s="66" t="s">
        <v>184</v>
      </c>
      <c r="B364" s="66"/>
      <c r="C364" s="66"/>
      <c r="D364" s="66"/>
      <c r="E364" s="66"/>
      <c r="F364" s="66"/>
      <c r="G364" s="66"/>
    </row>
    <row r="365" spans="1:8" s="53" customFormat="1" x14ac:dyDescent="0.25">
      <c r="A365" s="66" t="str">
        <f>+A3</f>
        <v>in millions except per share data</v>
      </c>
      <c r="B365" s="66"/>
      <c r="C365" s="66"/>
      <c r="D365" s="66"/>
      <c r="E365" s="66"/>
      <c r="F365" s="66"/>
      <c r="G365" s="67"/>
      <c r="H365" s="65"/>
    </row>
    <row r="366" spans="1:8" s="53" customFormat="1" ht="15.75" thickBot="1" x14ac:dyDescent="0.3">
      <c r="A366" s="67" t="str">
        <f>+A4</f>
        <v>Year ended near 12/31:</v>
      </c>
      <c r="B366" s="69">
        <f>B337</f>
        <v>2022</v>
      </c>
      <c r="C366" s="69">
        <f t="shared" ref="C366:G366" si="147">C337</f>
        <v>2021</v>
      </c>
      <c r="D366" s="69">
        <f t="shared" si="147"/>
        <v>2020</v>
      </c>
      <c r="E366" s="69">
        <f t="shared" si="147"/>
        <v>2019</v>
      </c>
      <c r="F366" s="69">
        <f t="shared" si="147"/>
        <v>2018</v>
      </c>
      <c r="G366" s="69">
        <f t="shared" si="147"/>
        <v>2017</v>
      </c>
      <c r="H366" s="77"/>
    </row>
    <row r="367" spans="1:8" s="20" customFormat="1" x14ac:dyDescent="0.25">
      <c r="A367" s="20" t="s">
        <v>185</v>
      </c>
      <c r="B367" s="23">
        <v>945</v>
      </c>
      <c r="C367" s="23">
        <v>1039</v>
      </c>
      <c r="D367" s="23">
        <v>1070</v>
      </c>
      <c r="E367" s="23">
        <v>1100</v>
      </c>
      <c r="F367" s="23">
        <v>1140</v>
      </c>
      <c r="G367" s="23">
        <v>1115</v>
      </c>
      <c r="H367" s="23"/>
    </row>
    <row r="368" spans="1:8" s="20" customFormat="1" x14ac:dyDescent="0.25">
      <c r="A368" s="20" t="s">
        <v>186</v>
      </c>
      <c r="B368" s="22">
        <v>127</v>
      </c>
      <c r="C368" s="22">
        <v>140</v>
      </c>
      <c r="D368" s="22">
        <v>119</v>
      </c>
      <c r="E368" s="22">
        <v>112</v>
      </c>
      <c r="F368" s="22">
        <v>109</v>
      </c>
      <c r="G368" s="22">
        <v>93</v>
      </c>
      <c r="H368" s="22"/>
    </row>
    <row r="369" spans="1:8" s="20" customFormat="1" x14ac:dyDescent="0.25">
      <c r="B369" s="21"/>
      <c r="C369" s="21"/>
      <c r="D369" s="21"/>
      <c r="E369" s="21"/>
      <c r="F369" s="21"/>
      <c r="G369" s="21"/>
      <c r="H369" s="21"/>
    </row>
    <row r="370" spans="1:8" x14ac:dyDescent="0.25">
      <c r="A370" s="19" t="s">
        <v>187</v>
      </c>
      <c r="B370" s="60">
        <v>200</v>
      </c>
      <c r="C370" s="60">
        <v>207</v>
      </c>
      <c r="D370" s="60">
        <v>219</v>
      </c>
      <c r="E370" s="60">
        <v>210</v>
      </c>
      <c r="F370" s="60">
        <v>218</v>
      </c>
      <c r="G370" s="60">
        <v>250</v>
      </c>
      <c r="H370" s="60"/>
    </row>
    <row r="371" spans="1:8" x14ac:dyDescent="0.25">
      <c r="A371" s="19" t="s">
        <v>188</v>
      </c>
      <c r="B371" s="19">
        <v>1161</v>
      </c>
      <c r="C371" s="19">
        <v>1002</v>
      </c>
      <c r="D371" s="19">
        <v>792</v>
      </c>
      <c r="E371" s="19">
        <v>1033</v>
      </c>
      <c r="F371" s="19">
        <v>1165</v>
      </c>
      <c r="G371" s="19">
        <v>1345</v>
      </c>
    </row>
    <row r="372" spans="1:8" x14ac:dyDescent="0.25">
      <c r="A372" s="19" t="s">
        <v>189</v>
      </c>
      <c r="B372" s="19">
        <f>+B373-B371-B370</f>
        <v>51681</v>
      </c>
      <c r="C372" s="19">
        <f t="shared" ref="C372:G372" si="148">+C373-C371-C370</f>
        <v>52107</v>
      </c>
      <c r="D372" s="19">
        <f t="shared" si="148"/>
        <v>52795</v>
      </c>
      <c r="E372" s="19">
        <f t="shared" si="148"/>
        <v>53693</v>
      </c>
      <c r="F372" s="19">
        <f t="shared" si="148"/>
        <v>52976</v>
      </c>
      <c r="G372" s="19">
        <f t="shared" si="148"/>
        <v>66564</v>
      </c>
    </row>
    <row r="373" spans="1:8" x14ac:dyDescent="0.25">
      <c r="A373" s="19" t="s">
        <v>190</v>
      </c>
      <c r="B373" s="57">
        <f>+B375-B374</f>
        <v>53042</v>
      </c>
      <c r="C373" s="57">
        <f t="shared" ref="C373:G373" si="149">+C375-C374</f>
        <v>53316</v>
      </c>
      <c r="D373" s="57">
        <f t="shared" si="149"/>
        <v>53806</v>
      </c>
      <c r="E373" s="57">
        <f t="shared" si="149"/>
        <v>54936</v>
      </c>
      <c r="F373" s="57">
        <f t="shared" si="149"/>
        <v>54359</v>
      </c>
      <c r="G373" s="57">
        <f t="shared" si="149"/>
        <v>68159</v>
      </c>
      <c r="H373" s="80"/>
    </row>
    <row r="374" spans="1:8" x14ac:dyDescent="0.25">
      <c r="A374" s="19" t="s">
        <v>191</v>
      </c>
      <c r="B374" s="19">
        <v>-4212</v>
      </c>
      <c r="C374" s="19">
        <v>-3868</v>
      </c>
      <c r="D374" s="19">
        <v>-3563</v>
      </c>
      <c r="E374" s="19">
        <v>-3187</v>
      </c>
      <c r="F374" s="19">
        <v>-2584</v>
      </c>
      <c r="G374" s="19">
        <v>-2089</v>
      </c>
    </row>
    <row r="375" spans="1:8" ht="15.75" thickBot="1" x14ac:dyDescent="0.3">
      <c r="A375" s="19" t="s">
        <v>22</v>
      </c>
      <c r="B375" s="74">
        <f t="shared" ref="B375:G375" si="150">+B54</f>
        <v>48830</v>
      </c>
      <c r="C375" s="74">
        <f t="shared" si="150"/>
        <v>49448</v>
      </c>
      <c r="D375" s="74">
        <f t="shared" si="150"/>
        <v>50243</v>
      </c>
      <c r="E375" s="74">
        <f t="shared" si="150"/>
        <v>51749</v>
      </c>
      <c r="F375" s="74">
        <f t="shared" si="150"/>
        <v>51775</v>
      </c>
      <c r="G375" s="74">
        <f t="shared" si="150"/>
        <v>66070</v>
      </c>
      <c r="H375" s="85"/>
    </row>
    <row r="376" spans="1:8" ht="15.75" thickTop="1" x14ac:dyDescent="0.25"/>
    <row r="377" spans="1:8" x14ac:dyDescent="0.25">
      <c r="A377" s="19" t="s">
        <v>192</v>
      </c>
      <c r="B377" s="60">
        <v>672</v>
      </c>
      <c r="C377" s="60">
        <v>671</v>
      </c>
      <c r="D377" s="60">
        <v>705</v>
      </c>
      <c r="E377" s="60">
        <v>708</v>
      </c>
      <c r="F377" s="60">
        <v>693</v>
      </c>
      <c r="G377" s="60">
        <v>680</v>
      </c>
      <c r="H377" s="60"/>
    </row>
    <row r="379" spans="1:8" x14ac:dyDescent="0.25">
      <c r="A379" s="19" t="s">
        <v>193</v>
      </c>
      <c r="B379" s="60">
        <v>668</v>
      </c>
      <c r="C379" s="60">
        <v>569</v>
      </c>
      <c r="D379" s="60">
        <v>562</v>
      </c>
      <c r="E379" s="60">
        <v>542</v>
      </c>
      <c r="F379" s="60">
        <v>0</v>
      </c>
      <c r="G379" s="60">
        <v>0</v>
      </c>
      <c r="H379" s="60"/>
    </row>
    <row r="380" spans="1:8" x14ac:dyDescent="0.25">
      <c r="A380" s="19" t="s">
        <v>194</v>
      </c>
      <c r="B380" s="19">
        <v>125</v>
      </c>
      <c r="C380" s="19">
        <v>133</v>
      </c>
      <c r="D380" s="19">
        <v>135</v>
      </c>
      <c r="E380" s="19">
        <v>147</v>
      </c>
      <c r="F380" s="19">
        <v>0</v>
      </c>
      <c r="G380" s="19">
        <v>0</v>
      </c>
    </row>
    <row r="381" spans="1:8" x14ac:dyDescent="0.25">
      <c r="A381" s="19" t="s">
        <v>195</v>
      </c>
      <c r="B381" s="60">
        <v>585</v>
      </c>
      <c r="C381" s="60">
        <v>484</v>
      </c>
      <c r="D381" s="60">
        <v>475</v>
      </c>
      <c r="E381" s="60">
        <v>454</v>
      </c>
      <c r="F381" s="60">
        <v>0</v>
      </c>
      <c r="G381" s="60">
        <v>0</v>
      </c>
      <c r="H381" s="60"/>
    </row>
    <row r="384" spans="1:8" x14ac:dyDescent="0.25">
      <c r="A384" s="66" t="str">
        <f>+A1</f>
        <v>Kraft Heinz Company</v>
      </c>
      <c r="B384" s="66" t="str">
        <f>+B1</f>
        <v>Reclassified</v>
      </c>
      <c r="C384" s="66"/>
      <c r="D384" s="66"/>
      <c r="E384" s="66"/>
      <c r="F384" s="66"/>
      <c r="G384" s="66"/>
      <c r="H384" s="53"/>
    </row>
    <row r="385" spans="1:8" x14ac:dyDescent="0.25">
      <c r="A385" s="66" t="s">
        <v>309</v>
      </c>
      <c r="B385" s="66"/>
      <c r="C385" s="66"/>
      <c r="D385" s="66"/>
      <c r="E385" s="66"/>
      <c r="F385" s="66"/>
      <c r="G385" s="66"/>
      <c r="H385" s="53"/>
    </row>
    <row r="386" spans="1:8" x14ac:dyDescent="0.25">
      <c r="A386" s="66" t="str">
        <f>+A3</f>
        <v>in millions except per share data</v>
      </c>
      <c r="B386" s="66"/>
      <c r="C386" s="66"/>
      <c r="D386" s="66"/>
      <c r="E386" s="66"/>
      <c r="F386" s="72" t="s">
        <v>262</v>
      </c>
      <c r="G386" s="72" t="s">
        <v>66</v>
      </c>
      <c r="H386" s="65"/>
    </row>
    <row r="387" spans="1:8" ht="15.75" thickBot="1" x14ac:dyDescent="0.3">
      <c r="A387" s="67" t="str">
        <f>+A4</f>
        <v>Year ended near 12/31:</v>
      </c>
      <c r="B387" s="69">
        <v>2022</v>
      </c>
      <c r="C387" s="69">
        <v>2021</v>
      </c>
      <c r="D387" s="69">
        <v>2020</v>
      </c>
      <c r="E387" s="69">
        <v>2019</v>
      </c>
      <c r="F387" s="69">
        <v>2018</v>
      </c>
      <c r="G387" s="69">
        <v>2017</v>
      </c>
      <c r="H387" s="77"/>
    </row>
    <row r="388" spans="1:8" x14ac:dyDescent="0.25">
      <c r="A388" s="54" t="s">
        <v>79</v>
      </c>
      <c r="B388" s="60">
        <v>0</v>
      </c>
      <c r="C388" s="60">
        <v>0</v>
      </c>
      <c r="D388" s="60">
        <v>0</v>
      </c>
      <c r="E388" s="60">
        <v>0</v>
      </c>
      <c r="F388" s="60">
        <v>152</v>
      </c>
      <c r="G388" s="60">
        <v>538</v>
      </c>
      <c r="H388" s="60"/>
    </row>
    <row r="389" spans="1:8" x14ac:dyDescent="0.25">
      <c r="A389" s="54" t="s">
        <v>80</v>
      </c>
      <c r="B389" s="19">
        <v>240</v>
      </c>
      <c r="C389" s="19">
        <v>136</v>
      </c>
      <c r="D389" s="19">
        <v>351</v>
      </c>
      <c r="E389" s="19">
        <v>384</v>
      </c>
      <c r="F389" s="19">
        <v>400</v>
      </c>
      <c r="G389" s="19">
        <v>345</v>
      </c>
    </row>
    <row r="390" spans="1:8" x14ac:dyDescent="0.25">
      <c r="A390" s="54" t="s">
        <v>20</v>
      </c>
      <c r="B390" s="19">
        <v>842</v>
      </c>
      <c r="C390" s="19">
        <v>716</v>
      </c>
      <c r="D390" s="19">
        <v>574</v>
      </c>
      <c r="E390" s="19">
        <v>618</v>
      </c>
      <c r="F390" s="19">
        <v>1221</v>
      </c>
      <c r="G390" s="19">
        <v>655</v>
      </c>
    </row>
    <row r="391" spans="1:8" x14ac:dyDescent="0.25">
      <c r="A391" s="54" t="s">
        <v>81</v>
      </c>
      <c r="B391" s="19">
        <v>4</v>
      </c>
      <c r="C391" s="19">
        <v>11</v>
      </c>
      <c r="D391" s="19">
        <v>1863</v>
      </c>
      <c r="E391" s="19">
        <v>122</v>
      </c>
      <c r="F391" s="19">
        <v>1376</v>
      </c>
      <c r="G391" s="19">
        <v>353</v>
      </c>
    </row>
    <row r="392" spans="1:8" ht="15.75" thickBot="1" x14ac:dyDescent="0.3">
      <c r="A392" s="19" t="s">
        <v>20</v>
      </c>
      <c r="B392" s="74">
        <f>SUM(B388:B391)</f>
        <v>1086</v>
      </c>
      <c r="C392" s="74">
        <f t="shared" ref="C392:G392" si="151">SUM(C388:C391)</f>
        <v>863</v>
      </c>
      <c r="D392" s="74">
        <f t="shared" si="151"/>
        <v>2788</v>
      </c>
      <c r="E392" s="74">
        <f t="shared" si="151"/>
        <v>1124</v>
      </c>
      <c r="F392" s="74">
        <f t="shared" si="151"/>
        <v>3149</v>
      </c>
      <c r="G392" s="74">
        <f t="shared" si="151"/>
        <v>1891</v>
      </c>
      <c r="H392" s="85"/>
    </row>
    <row r="393" spans="1:8" ht="15.75" thickTop="1" x14ac:dyDescent="0.25"/>
    <row r="394" spans="1:8" x14ac:dyDescent="0.25">
      <c r="A394" s="54" t="s">
        <v>23</v>
      </c>
      <c r="B394" s="60">
        <v>30833</v>
      </c>
      <c r="C394" s="60">
        <v>31296</v>
      </c>
      <c r="D394" s="60">
        <v>33089</v>
      </c>
      <c r="E394" s="60">
        <v>35546</v>
      </c>
      <c r="F394" s="60">
        <v>36503</v>
      </c>
      <c r="G394" s="60">
        <v>44825</v>
      </c>
      <c r="H394" s="60"/>
    </row>
    <row r="395" spans="1:8" x14ac:dyDescent="0.25">
      <c r="A395" s="54" t="s">
        <v>83</v>
      </c>
      <c r="B395" s="19">
        <v>42649</v>
      </c>
      <c r="C395" s="19">
        <v>43542</v>
      </c>
      <c r="D395" s="19">
        <v>46667</v>
      </c>
      <c r="E395" s="19">
        <v>48652</v>
      </c>
      <c r="F395" s="19">
        <v>49468</v>
      </c>
      <c r="G395" s="19">
        <v>59432</v>
      </c>
    </row>
    <row r="396" spans="1:8" ht="15.75" thickBot="1" x14ac:dyDescent="0.3">
      <c r="A396" s="19" t="s">
        <v>310</v>
      </c>
      <c r="B396" s="74">
        <f>SUM(B394:B395)</f>
        <v>73482</v>
      </c>
      <c r="C396" s="74">
        <f t="shared" ref="C396:G396" si="152">SUM(C394:C395)</f>
        <v>74838</v>
      </c>
      <c r="D396" s="74">
        <f t="shared" si="152"/>
        <v>79756</v>
      </c>
      <c r="E396" s="74">
        <f t="shared" si="152"/>
        <v>84198</v>
      </c>
      <c r="F396" s="74">
        <f t="shared" si="152"/>
        <v>85971</v>
      </c>
      <c r="G396" s="74">
        <f t="shared" si="152"/>
        <v>104257</v>
      </c>
      <c r="H396" s="85"/>
    </row>
    <row r="397" spans="1:8" ht="15.75" thickTop="1" x14ac:dyDescent="0.25"/>
    <row r="398" spans="1:8" x14ac:dyDescent="0.25">
      <c r="A398" s="54" t="s">
        <v>311</v>
      </c>
      <c r="B398" s="19">
        <v>2394</v>
      </c>
      <c r="C398" s="19">
        <v>2756</v>
      </c>
      <c r="D398" s="19">
        <v>2376</v>
      </c>
      <c r="E398" s="19">
        <v>2100</v>
      </c>
      <c r="F398" s="19">
        <v>1337</v>
      </c>
      <c r="G398" s="19">
        <v>1573</v>
      </c>
    </row>
    <row r="399" spans="1:8" x14ac:dyDescent="0.25">
      <c r="A399" s="54" t="s">
        <v>312</v>
      </c>
      <c r="B399" s="19">
        <f>-B379</f>
        <v>-668</v>
      </c>
      <c r="C399" s="19">
        <f t="shared" ref="C399:G399" si="153">-C379</f>
        <v>-569</v>
      </c>
      <c r="D399" s="19">
        <f t="shared" si="153"/>
        <v>-562</v>
      </c>
      <c r="E399" s="19">
        <f t="shared" si="153"/>
        <v>-542</v>
      </c>
      <c r="F399" s="19">
        <f t="shared" si="153"/>
        <v>0</v>
      </c>
      <c r="G399" s="19">
        <f t="shared" si="153"/>
        <v>0</v>
      </c>
    </row>
    <row r="400" spans="1:8" ht="15.75" thickBot="1" x14ac:dyDescent="0.3">
      <c r="A400" s="19" t="s">
        <v>313</v>
      </c>
      <c r="B400" s="74">
        <f>SUM(B398:B399)</f>
        <v>1726</v>
      </c>
      <c r="C400" s="74">
        <f t="shared" ref="C400:G400" si="154">SUM(C398:C399)</f>
        <v>2187</v>
      </c>
      <c r="D400" s="74">
        <f t="shared" si="154"/>
        <v>1814</v>
      </c>
      <c r="E400" s="74">
        <f t="shared" si="154"/>
        <v>1558</v>
      </c>
      <c r="F400" s="74">
        <f t="shared" si="154"/>
        <v>1337</v>
      </c>
      <c r="G400" s="74">
        <f t="shared" si="154"/>
        <v>1573</v>
      </c>
    </row>
    <row r="401" spans="1:8" ht="15.75" thickTop="1" x14ac:dyDescent="0.25"/>
    <row r="402" spans="1:8" x14ac:dyDescent="0.25">
      <c r="A402" s="54" t="s">
        <v>86</v>
      </c>
      <c r="B402" s="60">
        <v>6</v>
      </c>
      <c r="C402" s="60">
        <v>14</v>
      </c>
      <c r="D402" s="60">
        <v>6</v>
      </c>
      <c r="E402" s="60">
        <v>6</v>
      </c>
      <c r="F402" s="60">
        <v>21</v>
      </c>
      <c r="G402" s="60">
        <v>462</v>
      </c>
      <c r="H402" s="60"/>
    </row>
    <row r="403" spans="1:8" x14ac:dyDescent="0.25">
      <c r="A403" s="54" t="s">
        <v>87</v>
      </c>
      <c r="B403" s="19">
        <v>831</v>
      </c>
      <c r="C403" s="19">
        <v>740</v>
      </c>
      <c r="D403" s="19">
        <v>230</v>
      </c>
      <c r="E403" s="19">
        <v>1022</v>
      </c>
      <c r="F403" s="19">
        <v>377</v>
      </c>
      <c r="G403" s="19">
        <v>2733</v>
      </c>
    </row>
    <row r="404" spans="1:8" ht="15.75" thickBot="1" x14ac:dyDescent="0.3">
      <c r="A404" s="62" t="s">
        <v>314</v>
      </c>
      <c r="B404" s="74">
        <f>SUM(B402:B403)</f>
        <v>837</v>
      </c>
      <c r="C404" s="74">
        <f t="shared" ref="C404:G404" si="155">SUM(C402:C403)</f>
        <v>754</v>
      </c>
      <c r="D404" s="74">
        <f t="shared" si="155"/>
        <v>236</v>
      </c>
      <c r="E404" s="74">
        <f t="shared" si="155"/>
        <v>1028</v>
      </c>
      <c r="F404" s="74">
        <f t="shared" si="155"/>
        <v>398</v>
      </c>
      <c r="G404" s="74">
        <f t="shared" si="155"/>
        <v>3195</v>
      </c>
      <c r="H404" s="85"/>
    </row>
    <row r="405" spans="1:8" ht="15.75" thickTop="1" x14ac:dyDescent="0.25">
      <c r="A405" s="54"/>
    </row>
    <row r="406" spans="1:8" x14ac:dyDescent="0.25">
      <c r="A406" s="54" t="s">
        <v>89</v>
      </c>
      <c r="B406" s="60">
        <v>749</v>
      </c>
      <c r="C406" s="60">
        <v>804</v>
      </c>
      <c r="D406" s="60">
        <v>946</v>
      </c>
      <c r="E406" s="60">
        <v>647</v>
      </c>
      <c r="F406" s="60">
        <v>722</v>
      </c>
      <c r="G406" s="60">
        <v>689</v>
      </c>
      <c r="H406" s="60"/>
    </row>
    <row r="407" spans="1:8" x14ac:dyDescent="0.25">
      <c r="A407" s="54" t="s">
        <v>90</v>
      </c>
      <c r="B407" s="19">
        <v>264</v>
      </c>
      <c r="C407" s="19">
        <v>268</v>
      </c>
      <c r="D407" s="19">
        <v>358</v>
      </c>
      <c r="E407" s="19">
        <v>384</v>
      </c>
      <c r="F407" s="19">
        <v>408</v>
      </c>
      <c r="G407" s="19">
        <v>419</v>
      </c>
    </row>
    <row r="408" spans="1:8" x14ac:dyDescent="0.25">
      <c r="A408" s="54" t="s">
        <v>91</v>
      </c>
      <c r="B408" s="19">
        <v>136</v>
      </c>
      <c r="C408" s="19">
        <v>541</v>
      </c>
      <c r="D408" s="19">
        <v>0</v>
      </c>
      <c r="E408" s="19">
        <v>0</v>
      </c>
      <c r="F408" s="19">
        <v>0</v>
      </c>
      <c r="G408" s="19">
        <v>0</v>
      </c>
    </row>
    <row r="409" spans="1:8" x14ac:dyDescent="0.25">
      <c r="A409" s="54" t="s">
        <v>92</v>
      </c>
      <c r="B409" s="19">
        <v>0</v>
      </c>
      <c r="C409" s="19">
        <v>0</v>
      </c>
      <c r="D409" s="19">
        <v>17</v>
      </c>
      <c r="E409" s="19">
        <v>9</v>
      </c>
      <c r="F409" s="19">
        <v>55</v>
      </c>
      <c r="G409" s="19">
        <v>0</v>
      </c>
    </row>
    <row r="410" spans="1:8" x14ac:dyDescent="0.25">
      <c r="A410" s="54" t="s">
        <v>29</v>
      </c>
      <c r="B410" s="80">
        <v>2194</v>
      </c>
      <c r="C410" s="80">
        <v>1944</v>
      </c>
      <c r="D410" s="80">
        <v>2200</v>
      </c>
      <c r="E410" s="80">
        <v>1804</v>
      </c>
      <c r="F410" s="80">
        <v>1767</v>
      </c>
      <c r="G410" s="80">
        <v>1489</v>
      </c>
      <c r="H410" s="80"/>
    </row>
    <row r="411" spans="1:8" x14ac:dyDescent="0.25">
      <c r="A411" s="54" t="s">
        <v>315</v>
      </c>
      <c r="B411" s="80">
        <f>-B380</f>
        <v>-125</v>
      </c>
      <c r="C411" s="80">
        <f t="shared" ref="C411:G411" si="156">-C380</f>
        <v>-133</v>
      </c>
      <c r="D411" s="80">
        <f t="shared" si="156"/>
        <v>-135</v>
      </c>
      <c r="E411" s="80">
        <f t="shared" si="156"/>
        <v>-147</v>
      </c>
      <c r="F411" s="80">
        <f t="shared" si="156"/>
        <v>0</v>
      </c>
      <c r="G411" s="80">
        <f t="shared" si="156"/>
        <v>0</v>
      </c>
      <c r="H411" s="80"/>
    </row>
    <row r="412" spans="1:8" ht="15.75" thickBot="1" x14ac:dyDescent="0.3">
      <c r="A412" s="19" t="s">
        <v>29</v>
      </c>
      <c r="B412" s="74">
        <f>SUM(B406:B411)</f>
        <v>3218</v>
      </c>
      <c r="C412" s="74">
        <f t="shared" ref="C412:G412" si="157">SUM(C406:C411)</f>
        <v>3424</v>
      </c>
      <c r="D412" s="74">
        <f t="shared" si="157"/>
        <v>3386</v>
      </c>
      <c r="E412" s="74">
        <f t="shared" si="157"/>
        <v>2697</v>
      </c>
      <c r="F412" s="74">
        <f t="shared" si="157"/>
        <v>2952</v>
      </c>
      <c r="G412" s="74">
        <f t="shared" si="157"/>
        <v>2597</v>
      </c>
      <c r="H412" s="85"/>
    </row>
    <row r="413" spans="1:8" ht="15.75" thickTop="1" x14ac:dyDescent="0.25">
      <c r="B413" s="80"/>
      <c r="C413" s="80"/>
      <c r="D413" s="80"/>
      <c r="E413" s="80"/>
      <c r="F413" s="80"/>
      <c r="G413" s="80"/>
      <c r="H413" s="80"/>
    </row>
    <row r="414" spans="1:8" x14ac:dyDescent="0.25">
      <c r="A414" s="54" t="s">
        <v>93</v>
      </c>
      <c r="B414" s="60">
        <v>10152</v>
      </c>
      <c r="C414" s="60">
        <v>10536</v>
      </c>
      <c r="D414" s="60">
        <v>11462</v>
      </c>
      <c r="E414" s="60">
        <v>11878</v>
      </c>
      <c r="F414" s="60">
        <v>12202</v>
      </c>
      <c r="G414" s="60">
        <v>14039</v>
      </c>
      <c r="H414" s="60"/>
    </row>
    <row r="415" spans="1:8" x14ac:dyDescent="0.25">
      <c r="A415" s="54" t="s">
        <v>94</v>
      </c>
      <c r="B415" s="19">
        <v>144</v>
      </c>
      <c r="C415" s="19">
        <v>205</v>
      </c>
      <c r="D415" s="19">
        <v>243</v>
      </c>
      <c r="E415" s="19">
        <v>273</v>
      </c>
      <c r="F415" s="19">
        <v>306</v>
      </c>
      <c r="G415" s="19">
        <v>427</v>
      </c>
    </row>
    <row r="416" spans="1:8" x14ac:dyDescent="0.25">
      <c r="A416" s="54" t="s">
        <v>95</v>
      </c>
      <c r="B416" s="19">
        <v>1477</v>
      </c>
      <c r="C416" s="19">
        <v>1534</v>
      </c>
      <c r="D416" s="19">
        <v>0</v>
      </c>
      <c r="E416" s="19">
        <v>0</v>
      </c>
      <c r="F416" s="19">
        <v>0</v>
      </c>
      <c r="G416" s="19">
        <v>0</v>
      </c>
    </row>
    <row r="417" spans="1:8" x14ac:dyDescent="0.25">
      <c r="A417" s="54" t="s">
        <v>96</v>
      </c>
      <c r="B417" s="19">
        <v>1609</v>
      </c>
      <c r="C417" s="19">
        <v>1542</v>
      </c>
      <c r="D417" s="19">
        <v>1751</v>
      </c>
      <c r="E417" s="19">
        <v>1459</v>
      </c>
      <c r="F417" s="19">
        <v>902</v>
      </c>
      <c r="G417" s="19">
        <v>1088</v>
      </c>
    </row>
    <row r="418" spans="1:8" x14ac:dyDescent="0.25">
      <c r="A418" s="54" t="s">
        <v>316</v>
      </c>
      <c r="B418" s="19">
        <f>-B381</f>
        <v>-585</v>
      </c>
      <c r="C418" s="19">
        <f t="shared" ref="C418:G418" si="158">-C381</f>
        <v>-484</v>
      </c>
      <c r="D418" s="19">
        <f t="shared" si="158"/>
        <v>-475</v>
      </c>
      <c r="E418" s="19">
        <f t="shared" si="158"/>
        <v>-454</v>
      </c>
      <c r="F418" s="19">
        <f t="shared" si="158"/>
        <v>0</v>
      </c>
      <c r="G418" s="19">
        <f t="shared" si="158"/>
        <v>0</v>
      </c>
    </row>
    <row r="419" spans="1:8" ht="15.75" thickBot="1" x14ac:dyDescent="0.3">
      <c r="A419" s="19" t="s">
        <v>317</v>
      </c>
      <c r="B419" s="74">
        <f>SUM(B414:B418)</f>
        <v>12797</v>
      </c>
      <c r="C419" s="74">
        <f t="shared" ref="C419:G419" si="159">SUM(C414:C418)</f>
        <v>13333</v>
      </c>
      <c r="D419" s="74">
        <f t="shared" si="159"/>
        <v>12981</v>
      </c>
      <c r="E419" s="74">
        <f t="shared" si="159"/>
        <v>13156</v>
      </c>
      <c r="F419" s="74">
        <f t="shared" si="159"/>
        <v>13410</v>
      </c>
      <c r="G419" s="74">
        <f t="shared" si="159"/>
        <v>15554</v>
      </c>
      <c r="H419" s="85"/>
    </row>
    <row r="420" spans="1:8" ht="15.75" thickTop="1" x14ac:dyDescent="0.25"/>
    <row r="421" spans="1:8" x14ac:dyDescent="0.25">
      <c r="A421" s="54" t="s">
        <v>100</v>
      </c>
      <c r="B421" s="60">
        <v>12</v>
      </c>
      <c r="C421" s="60">
        <v>12</v>
      </c>
      <c r="D421" s="60">
        <v>12</v>
      </c>
      <c r="E421" s="60">
        <v>12</v>
      </c>
      <c r="F421" s="60">
        <v>12</v>
      </c>
      <c r="G421" s="60">
        <v>12</v>
      </c>
      <c r="H421" s="60"/>
    </row>
    <row r="422" spans="1:8" x14ac:dyDescent="0.25">
      <c r="A422" s="54" t="s">
        <v>101</v>
      </c>
      <c r="B422" s="19">
        <v>51834</v>
      </c>
      <c r="C422" s="19">
        <v>53379</v>
      </c>
      <c r="D422" s="19">
        <v>55096</v>
      </c>
      <c r="E422" s="19">
        <v>56828</v>
      </c>
      <c r="F422" s="19">
        <v>58723</v>
      </c>
      <c r="G422" s="19">
        <v>58634</v>
      </c>
    </row>
    <row r="423" spans="1:8" x14ac:dyDescent="0.25">
      <c r="A423" s="54" t="s">
        <v>102</v>
      </c>
      <c r="B423" s="19">
        <v>489</v>
      </c>
      <c r="C423" s="19">
        <v>-1682</v>
      </c>
      <c r="D423" s="19">
        <v>-2694</v>
      </c>
      <c r="E423" s="19">
        <v>-3060</v>
      </c>
      <c r="F423" s="19">
        <v>-4853</v>
      </c>
      <c r="G423" s="19">
        <v>8495</v>
      </c>
    </row>
    <row r="424" spans="1:8" x14ac:dyDescent="0.25">
      <c r="A424" s="54" t="s">
        <v>103</v>
      </c>
      <c r="B424" s="19">
        <v>-2810</v>
      </c>
      <c r="C424" s="19">
        <v>-1824</v>
      </c>
      <c r="D424" s="19">
        <v>-1967</v>
      </c>
      <c r="E424" s="19">
        <v>-1886</v>
      </c>
      <c r="F424" s="19">
        <v>-1943</v>
      </c>
      <c r="G424" s="19">
        <v>-1054</v>
      </c>
    </row>
    <row r="425" spans="1:8" x14ac:dyDescent="0.25">
      <c r="A425" s="54" t="s">
        <v>104</v>
      </c>
      <c r="B425" s="19">
        <v>-847</v>
      </c>
      <c r="C425" s="19">
        <v>-587</v>
      </c>
      <c r="D425" s="19">
        <v>-344</v>
      </c>
      <c r="E425" s="19">
        <v>-271</v>
      </c>
      <c r="F425" s="19">
        <v>-282</v>
      </c>
      <c r="G425" s="19">
        <v>-224</v>
      </c>
    </row>
    <row r="426" spans="1:8" x14ac:dyDescent="0.25">
      <c r="A426" s="54" t="s">
        <v>105</v>
      </c>
      <c r="B426" s="19">
        <v>152</v>
      </c>
      <c r="C426" s="19">
        <v>150</v>
      </c>
      <c r="D426" s="19">
        <v>140</v>
      </c>
      <c r="E426" s="19">
        <v>126</v>
      </c>
      <c r="F426" s="19">
        <v>118</v>
      </c>
      <c r="G426" s="19">
        <v>207</v>
      </c>
    </row>
    <row r="427" spans="1:8" ht="15.75" thickBot="1" x14ac:dyDescent="0.3">
      <c r="A427" s="19" t="s">
        <v>106</v>
      </c>
      <c r="B427" s="74">
        <f>SUM(B421:B426)</f>
        <v>48830</v>
      </c>
      <c r="C427" s="74">
        <f t="shared" ref="C427:G427" si="160">SUM(C421:C426)</f>
        <v>49448</v>
      </c>
      <c r="D427" s="74">
        <f t="shared" si="160"/>
        <v>50243</v>
      </c>
      <c r="E427" s="74">
        <f t="shared" si="160"/>
        <v>51749</v>
      </c>
      <c r="F427" s="74">
        <f t="shared" si="160"/>
        <v>51775</v>
      </c>
      <c r="G427" s="74">
        <f t="shared" si="160"/>
        <v>66070</v>
      </c>
      <c r="H427" s="85"/>
    </row>
    <row r="428" spans="1:8" ht="15.75" thickTop="1" x14ac:dyDescent="0.25"/>
    <row r="429" spans="1:8" x14ac:dyDescent="0.25">
      <c r="A429" s="54" t="s">
        <v>318</v>
      </c>
      <c r="B429" s="60">
        <v>3575</v>
      </c>
      <c r="C429" s="60">
        <v>3588</v>
      </c>
      <c r="D429" s="60">
        <v>3650</v>
      </c>
      <c r="E429" s="60">
        <v>3178</v>
      </c>
      <c r="F429" s="60">
        <v>3190</v>
      </c>
      <c r="G429" s="60">
        <v>2927</v>
      </c>
    </row>
    <row r="430" spans="1:8" x14ac:dyDescent="0.25">
      <c r="A430" s="54" t="s">
        <v>319</v>
      </c>
      <c r="B430" s="19">
        <f>-B368</f>
        <v>-127</v>
      </c>
      <c r="C430" s="19">
        <f t="shared" ref="C430:G430" si="161">-C368</f>
        <v>-140</v>
      </c>
      <c r="D430" s="19">
        <f t="shared" si="161"/>
        <v>-119</v>
      </c>
      <c r="E430" s="19">
        <f t="shared" si="161"/>
        <v>-112</v>
      </c>
      <c r="F430" s="19">
        <f t="shared" si="161"/>
        <v>-109</v>
      </c>
      <c r="G430" s="19">
        <f t="shared" si="161"/>
        <v>-93</v>
      </c>
    </row>
    <row r="431" spans="1:8" x14ac:dyDescent="0.25">
      <c r="A431" s="54" t="s">
        <v>320</v>
      </c>
      <c r="B431" s="19">
        <f>-B367</f>
        <v>-945</v>
      </c>
      <c r="C431" s="19">
        <f t="shared" ref="C431:G431" si="162">-C367</f>
        <v>-1039</v>
      </c>
      <c r="D431" s="19">
        <f t="shared" si="162"/>
        <v>-1070</v>
      </c>
      <c r="E431" s="19">
        <f t="shared" si="162"/>
        <v>-1100</v>
      </c>
      <c r="F431" s="19">
        <f t="shared" si="162"/>
        <v>-1140</v>
      </c>
      <c r="G431" s="19">
        <f t="shared" si="162"/>
        <v>-1115</v>
      </c>
    </row>
    <row r="432" spans="1:8" ht="15.75" thickBot="1" x14ac:dyDescent="0.3">
      <c r="A432" s="19" t="s">
        <v>519</v>
      </c>
      <c r="B432" s="74">
        <f>SUM(B429:B431)</f>
        <v>2503</v>
      </c>
      <c r="C432" s="74">
        <f t="shared" ref="C432:G432" si="163">SUM(C429:C431)</f>
        <v>2409</v>
      </c>
      <c r="D432" s="74">
        <f t="shared" si="163"/>
        <v>2461</v>
      </c>
      <c r="E432" s="74">
        <f t="shared" si="163"/>
        <v>1966</v>
      </c>
      <c r="F432" s="74">
        <f t="shared" si="163"/>
        <v>1941</v>
      </c>
      <c r="G432" s="74">
        <f t="shared" si="163"/>
        <v>1719</v>
      </c>
    </row>
    <row r="433" ht="15.75" thickTop="1" x14ac:dyDescent="0.25"/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3499-2EE9-43A0-A963-A9B0BFE355EF}">
  <dimension ref="A1:Y3757"/>
  <sheetViews>
    <sheetView tabSelected="1" topLeftCell="B1" zoomScaleNormal="100" workbookViewId="0">
      <selection activeCell="J31" sqref="J31"/>
    </sheetView>
  </sheetViews>
  <sheetFormatPr defaultColWidth="9.140625" defaultRowHeight="15" x14ac:dyDescent="0.25"/>
  <cols>
    <col min="1" max="1" width="3" style="19" hidden="1" customWidth="1"/>
    <col min="2" max="2" width="40.7109375" style="19" customWidth="1"/>
    <col min="3" max="9" width="10.7109375" style="19" customWidth="1"/>
    <col min="10" max="10" width="9.140625" style="19"/>
    <col min="11" max="16" width="8.7109375" style="19" customWidth="1"/>
    <col min="17" max="17" width="9.7109375" style="19" customWidth="1"/>
    <col min="18" max="25" width="8.7109375" style="19" customWidth="1"/>
    <col min="26" max="16384" width="9.140625" style="19"/>
  </cols>
  <sheetData>
    <row r="1" spans="2:25" s="53" customFormat="1" x14ac:dyDescent="0.25">
      <c r="B1" s="66" t="s">
        <v>0</v>
      </c>
      <c r="C1" s="66" t="s">
        <v>419</v>
      </c>
      <c r="D1" s="66"/>
      <c r="E1" s="66"/>
      <c r="F1" s="66"/>
      <c r="G1" s="66"/>
      <c r="H1" s="66"/>
      <c r="K1" s="66" t="str">
        <f>+C1</f>
        <v>RECURRING</v>
      </c>
      <c r="L1" s="66"/>
      <c r="M1" s="66"/>
      <c r="N1" s="66"/>
      <c r="O1" s="66"/>
      <c r="P1" s="66"/>
      <c r="S1" s="66" t="str">
        <f>+C1</f>
        <v>RECURRING</v>
      </c>
      <c r="T1" s="66"/>
      <c r="U1" s="66"/>
      <c r="V1" s="66"/>
      <c r="W1" s="66"/>
      <c r="X1" s="66"/>
      <c r="Y1" s="66"/>
    </row>
    <row r="2" spans="2:25" s="53" customFormat="1" x14ac:dyDescent="0.25">
      <c r="B2" s="66" t="s">
        <v>61</v>
      </c>
      <c r="C2" s="66"/>
      <c r="D2" s="66"/>
      <c r="E2" s="66"/>
      <c r="F2" s="66"/>
      <c r="G2" s="66"/>
      <c r="H2" s="66"/>
      <c r="K2" s="66" t="s">
        <v>62</v>
      </c>
      <c r="L2" s="66"/>
      <c r="M2" s="66"/>
      <c r="N2" s="66"/>
      <c r="O2" s="66"/>
      <c r="P2" s="66"/>
      <c r="S2" s="66" t="s">
        <v>63</v>
      </c>
      <c r="T2" s="66"/>
      <c r="U2" s="66"/>
      <c r="V2" s="66"/>
      <c r="W2" s="66"/>
      <c r="X2" s="66"/>
      <c r="Y2" s="66"/>
    </row>
    <row r="3" spans="2:25" s="53" customFormat="1" x14ac:dyDescent="0.25">
      <c r="B3" s="66" t="s">
        <v>64</v>
      </c>
      <c r="C3" s="66"/>
      <c r="D3" s="66"/>
      <c r="E3" s="66"/>
      <c r="F3" s="66"/>
      <c r="G3" s="66" t="s">
        <v>262</v>
      </c>
      <c r="H3" s="72" t="s">
        <v>66</v>
      </c>
      <c r="I3" s="65"/>
      <c r="K3" s="66"/>
      <c r="L3" s="66"/>
      <c r="M3" s="66"/>
      <c r="N3" s="66"/>
      <c r="O3" s="66"/>
      <c r="P3" s="67" t="s">
        <v>66</v>
      </c>
      <c r="Q3" s="65"/>
      <c r="S3" s="66" t="s">
        <v>67</v>
      </c>
      <c r="T3" s="66" t="s">
        <v>68</v>
      </c>
      <c r="U3" s="66" t="s">
        <v>69</v>
      </c>
      <c r="V3" s="66" t="s">
        <v>70</v>
      </c>
      <c r="W3" s="66" t="s">
        <v>71</v>
      </c>
      <c r="X3" s="66" t="s">
        <v>72</v>
      </c>
      <c r="Y3" s="66" t="s">
        <v>73</v>
      </c>
    </row>
    <row r="4" spans="2:25" s="53" customFormat="1" ht="15.75" thickBot="1" x14ac:dyDescent="0.3">
      <c r="B4" s="67" t="s">
        <v>520</v>
      </c>
      <c r="C4" s="69">
        <v>2022</v>
      </c>
      <c r="D4" s="69">
        <v>2021</v>
      </c>
      <c r="E4" s="69">
        <v>2020</v>
      </c>
      <c r="F4" s="69">
        <v>2019</v>
      </c>
      <c r="G4" s="69">
        <v>2018</v>
      </c>
      <c r="H4" s="69">
        <v>2017</v>
      </c>
      <c r="I4" s="77"/>
      <c r="K4" s="69">
        <v>2022</v>
      </c>
      <c r="L4" s="69">
        <v>2021</v>
      </c>
      <c r="M4" s="69">
        <v>2020</v>
      </c>
      <c r="N4" s="69">
        <v>2019</v>
      </c>
      <c r="O4" s="69">
        <v>2018</v>
      </c>
      <c r="P4" s="69">
        <v>2017</v>
      </c>
      <c r="Q4" s="77"/>
      <c r="S4" s="70" t="s">
        <v>75</v>
      </c>
      <c r="T4" s="70" t="s">
        <v>76</v>
      </c>
      <c r="U4" s="71">
        <v>2022</v>
      </c>
      <c r="V4" s="71">
        <v>2021</v>
      </c>
      <c r="W4" s="71">
        <v>2020</v>
      </c>
      <c r="X4" s="71">
        <v>2019</v>
      </c>
      <c r="Y4" s="71">
        <v>2018</v>
      </c>
    </row>
    <row r="5" spans="2:25" x14ac:dyDescent="0.25">
      <c r="B5" s="19" t="s">
        <v>77</v>
      </c>
    </row>
    <row r="6" spans="2:25" x14ac:dyDescent="0.25">
      <c r="B6" s="54" t="s">
        <v>78</v>
      </c>
      <c r="C6" s="60">
        <v>1040</v>
      </c>
      <c r="D6" s="60">
        <v>3445</v>
      </c>
      <c r="E6" s="60">
        <v>3417</v>
      </c>
      <c r="F6" s="60">
        <v>2279</v>
      </c>
      <c r="G6" s="60">
        <v>1130</v>
      </c>
      <c r="H6" s="60">
        <v>1629</v>
      </c>
      <c r="I6" s="60"/>
      <c r="K6" s="83">
        <f t="shared" ref="K6:P6" si="0">+C6/C$21</f>
        <v>1.14900622010098E-2</v>
      </c>
      <c r="L6" s="83">
        <f t="shared" si="0"/>
        <v>3.6886737906075336E-2</v>
      </c>
      <c r="M6" s="83">
        <f t="shared" si="0"/>
        <v>3.4228187919463089E-2</v>
      </c>
      <c r="N6" s="83">
        <f t="shared" si="0"/>
        <v>2.2464268112370626E-2</v>
      </c>
      <c r="O6" s="83">
        <f t="shared" si="0"/>
        <v>1.0921989928572119E-2</v>
      </c>
      <c r="P6" s="83">
        <f t="shared" si="0"/>
        <v>1.3564600472970723E-2</v>
      </c>
      <c r="Q6" s="83"/>
      <c r="S6" s="83">
        <f>RATE(5,0,-H6,C6)</f>
        <v>-8.5839501919465239E-2</v>
      </c>
      <c r="T6" s="83">
        <f>AVERAGE(U6:Y6)</f>
        <v>0.10398283867061812</v>
      </c>
      <c r="U6" s="83">
        <f>(+C6-D6)/D6</f>
        <v>-0.69811320754716977</v>
      </c>
      <c r="V6" s="83">
        <f>(+D6-E6)/E6</f>
        <v>8.194322505121452E-3</v>
      </c>
      <c r="W6" s="83">
        <f>(+E6-F6)/F6</f>
        <v>0.49934181658622201</v>
      </c>
      <c r="X6" s="83">
        <f>(+F6-G6)/G6</f>
        <v>1.0168141592920354</v>
      </c>
      <c r="Y6" s="83">
        <f>(+G6-H6)/H6</f>
        <v>-0.30632289748311847</v>
      </c>
    </row>
    <row r="7" spans="2:25" x14ac:dyDescent="0.25">
      <c r="B7" s="54" t="s">
        <v>263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K7" s="83"/>
      <c r="L7" s="83"/>
      <c r="M7" s="83"/>
      <c r="N7" s="83"/>
      <c r="O7" s="83"/>
      <c r="P7" s="83"/>
      <c r="Q7" s="83"/>
      <c r="S7" s="83"/>
      <c r="T7" s="83"/>
      <c r="U7" s="83"/>
      <c r="V7" s="83"/>
      <c r="W7" s="83"/>
      <c r="X7" s="83"/>
      <c r="Y7" s="83"/>
    </row>
    <row r="8" spans="2:25" x14ac:dyDescent="0.25">
      <c r="B8" s="54" t="s">
        <v>18</v>
      </c>
      <c r="C8" s="19">
        <v>2120</v>
      </c>
      <c r="D8" s="19">
        <v>1957</v>
      </c>
      <c r="E8" s="19">
        <v>2063</v>
      </c>
      <c r="F8" s="19">
        <v>1973</v>
      </c>
      <c r="G8" s="19">
        <v>2129</v>
      </c>
      <c r="H8" s="19">
        <v>921</v>
      </c>
      <c r="K8" s="83">
        <f t="shared" ref="K8:P17" si="1">+C8/C$21</f>
        <v>2.3422049871289208E-2</v>
      </c>
      <c r="L8" s="83">
        <f t="shared" si="1"/>
        <v>2.095423688887937E-2</v>
      </c>
      <c r="M8" s="83">
        <f t="shared" si="1"/>
        <v>2.0665130722227788E-2</v>
      </c>
      <c r="N8" s="83">
        <f t="shared" si="1"/>
        <v>1.944800394282898E-2</v>
      </c>
      <c r="O8" s="83">
        <f t="shared" si="1"/>
        <v>2.0577802263654903E-2</v>
      </c>
      <c r="P8" s="83">
        <f t="shared" si="1"/>
        <v>7.669120341071845E-3</v>
      </c>
      <c r="Q8" s="83"/>
      <c r="R8" s="80"/>
      <c r="S8" s="83">
        <f t="shared" ref="S8:S21" si="2">RATE(5,0,-H8,C8)</f>
        <v>0.18144972663460698</v>
      </c>
      <c r="T8" s="83">
        <f t="shared" ref="T8:T21" si="3">AVERAGE(U8:Y8)</f>
        <v>0.26317381012087437</v>
      </c>
      <c r="U8" s="83">
        <f t="shared" ref="U8:Y21" si="4">(+C8-D8)/D8</f>
        <v>8.3290751149718956E-2</v>
      </c>
      <c r="V8" s="83">
        <f t="shared" si="4"/>
        <v>-5.1381483276781388E-2</v>
      </c>
      <c r="W8" s="83">
        <f t="shared" si="4"/>
        <v>4.5615813482007099E-2</v>
      </c>
      <c r="X8" s="83">
        <f t="shared" si="4"/>
        <v>-7.3273837482386098E-2</v>
      </c>
      <c r="Y8" s="83">
        <f t="shared" si="4"/>
        <v>1.3116178067318132</v>
      </c>
    </row>
    <row r="9" spans="2:25" x14ac:dyDescent="0.25">
      <c r="B9" s="54" t="s">
        <v>19</v>
      </c>
      <c r="C9" s="19">
        <v>3651</v>
      </c>
      <c r="D9" s="19">
        <v>2729</v>
      </c>
      <c r="E9" s="19">
        <v>2554</v>
      </c>
      <c r="F9" s="19">
        <v>2721</v>
      </c>
      <c r="G9" s="19">
        <v>2667</v>
      </c>
      <c r="H9" s="19">
        <v>2760</v>
      </c>
      <c r="K9" s="83">
        <f t="shared" si="1"/>
        <v>4.0336747207583443E-2</v>
      </c>
      <c r="L9" s="83">
        <f t="shared" si="1"/>
        <v>2.9220292524145021E-2</v>
      </c>
      <c r="M9" s="83">
        <f t="shared" si="1"/>
        <v>2.5583491936291697E-2</v>
      </c>
      <c r="N9" s="83">
        <f t="shared" si="1"/>
        <v>2.6821094135041891E-2</v>
      </c>
      <c r="O9" s="83">
        <f t="shared" si="1"/>
        <v>2.5777829326992779E-2</v>
      </c>
      <c r="P9" s="83">
        <f t="shared" si="1"/>
        <v>2.2982380175199015E-2</v>
      </c>
      <c r="Q9" s="91"/>
      <c r="R9" s="80"/>
      <c r="S9" s="83">
        <f t="shared" si="2"/>
        <v>5.7549124818983735E-2</v>
      </c>
      <c r="T9" s="83">
        <f t="shared" si="3"/>
        <v>6.6309996838441923E-2</v>
      </c>
      <c r="U9" s="83">
        <f t="shared" si="4"/>
        <v>0.337852693294247</v>
      </c>
      <c r="V9" s="83">
        <f t="shared" si="4"/>
        <v>6.8519968676585746E-2</v>
      </c>
      <c r="W9" s="83">
        <f t="shared" si="4"/>
        <v>-6.1374494671076807E-2</v>
      </c>
      <c r="X9" s="83">
        <f t="shared" si="4"/>
        <v>2.0247469066366704E-2</v>
      </c>
      <c r="Y9" s="83">
        <f t="shared" si="4"/>
        <v>-3.3695652173913043E-2</v>
      </c>
    </row>
    <row r="10" spans="2:25" x14ac:dyDescent="0.25">
      <c r="B10" s="54" t="s">
        <v>20</v>
      </c>
      <c r="C10" s="19">
        <f t="shared" ref="C10:H10" si="5">+C415</f>
        <v>1086</v>
      </c>
      <c r="D10" s="19">
        <f t="shared" si="5"/>
        <v>863</v>
      </c>
      <c r="E10" s="19">
        <f t="shared" si="5"/>
        <v>2788</v>
      </c>
      <c r="F10" s="19">
        <f t="shared" si="5"/>
        <v>1124</v>
      </c>
      <c r="G10" s="19">
        <f t="shared" si="5"/>
        <v>3149</v>
      </c>
      <c r="H10" s="19">
        <f t="shared" si="5"/>
        <v>1891</v>
      </c>
      <c r="K10" s="84">
        <f t="shared" si="1"/>
        <v>1.1998276490669849E-2</v>
      </c>
      <c r="L10" s="84">
        <f t="shared" si="1"/>
        <v>9.2404222969355628E-3</v>
      </c>
      <c r="M10" s="84">
        <f t="shared" si="1"/>
        <v>2.7927476710407694E-2</v>
      </c>
      <c r="N10" s="84">
        <f t="shared" si="1"/>
        <v>1.1079349433218335E-2</v>
      </c>
      <c r="O10" s="84">
        <f t="shared" si="1"/>
        <v>3.0436589632808497E-2</v>
      </c>
      <c r="P10" s="84">
        <f t="shared" si="1"/>
        <v>1.5746261199746862E-2</v>
      </c>
      <c r="Q10" s="91"/>
      <c r="R10" s="80"/>
      <c r="S10" s="84">
        <f t="shared" si="2"/>
        <v>-0.10499047081771275</v>
      </c>
      <c r="T10" s="84">
        <f t="shared" si="3"/>
        <v>0.2141128103088957</v>
      </c>
      <c r="U10" s="84">
        <f t="shared" si="4"/>
        <v>0.25840092699884126</v>
      </c>
      <c r="V10" s="84">
        <f t="shared" si="4"/>
        <v>-0.69045911047345765</v>
      </c>
      <c r="W10" s="84">
        <f t="shared" si="4"/>
        <v>1.4804270462633451</v>
      </c>
      <c r="X10" s="84">
        <f t="shared" si="4"/>
        <v>-0.64306128929818995</v>
      </c>
      <c r="Y10" s="84">
        <f t="shared" si="4"/>
        <v>0.66525647805393973</v>
      </c>
    </row>
    <row r="11" spans="2:25" x14ac:dyDescent="0.25">
      <c r="B11" s="19" t="s">
        <v>21</v>
      </c>
      <c r="C11" s="57">
        <f t="shared" ref="C11:H11" si="6">SUM(C6:C10)</f>
        <v>7897</v>
      </c>
      <c r="D11" s="57">
        <f t="shared" si="6"/>
        <v>8994</v>
      </c>
      <c r="E11" s="57">
        <f t="shared" si="6"/>
        <v>10822</v>
      </c>
      <c r="F11" s="57">
        <f t="shared" si="6"/>
        <v>8097</v>
      </c>
      <c r="G11" s="57">
        <f t="shared" si="6"/>
        <v>9075</v>
      </c>
      <c r="H11" s="57">
        <f t="shared" si="6"/>
        <v>7201</v>
      </c>
      <c r="I11" s="80"/>
      <c r="K11" s="83">
        <f t="shared" si="1"/>
        <v>8.7247135770552292E-2</v>
      </c>
      <c r="L11" s="83">
        <f t="shared" si="1"/>
        <v>9.6301689616035288E-2</v>
      </c>
      <c r="M11" s="83">
        <f t="shared" si="1"/>
        <v>0.10840428728839026</v>
      </c>
      <c r="N11" s="83">
        <f t="shared" si="1"/>
        <v>7.9812715623459832E-2</v>
      </c>
      <c r="O11" s="83">
        <f t="shared" si="1"/>
        <v>8.7714211152028307E-2</v>
      </c>
      <c r="P11" s="83">
        <f t="shared" si="1"/>
        <v>5.9962362188988441E-2</v>
      </c>
      <c r="Q11" s="91"/>
      <c r="R11" s="80"/>
      <c r="S11" s="83">
        <f t="shared" si="2"/>
        <v>1.8623908433372451E-2</v>
      </c>
      <c r="T11" s="83">
        <f t="shared" si="3"/>
        <v>3.9626412414418111E-2</v>
      </c>
      <c r="U11" s="83">
        <f t="shared" si="4"/>
        <v>-0.12197020235712697</v>
      </c>
      <c r="V11" s="83">
        <f t="shared" si="4"/>
        <v>-0.16891517279615598</v>
      </c>
      <c r="W11" s="83">
        <f t="shared" si="4"/>
        <v>0.33654439916018281</v>
      </c>
      <c r="X11" s="83">
        <f t="shared" si="4"/>
        <v>-0.10776859504132232</v>
      </c>
      <c r="Y11" s="83">
        <f t="shared" si="4"/>
        <v>0.26024163310651299</v>
      </c>
    </row>
    <row r="12" spans="2:25" x14ac:dyDescent="0.25">
      <c r="B12" s="56" t="s">
        <v>187</v>
      </c>
      <c r="C12" s="80">
        <f t="shared" ref="C12:H16" si="7">+C393</f>
        <v>200</v>
      </c>
      <c r="D12" s="80">
        <f t="shared" si="7"/>
        <v>207</v>
      </c>
      <c r="E12" s="80">
        <f t="shared" si="7"/>
        <v>219</v>
      </c>
      <c r="F12" s="80">
        <f t="shared" si="7"/>
        <v>210</v>
      </c>
      <c r="G12" s="80">
        <f t="shared" si="7"/>
        <v>218</v>
      </c>
      <c r="H12" s="80">
        <f t="shared" si="7"/>
        <v>250</v>
      </c>
      <c r="I12" s="80"/>
      <c r="K12" s="83">
        <f t="shared" si="1"/>
        <v>2.2096273463480384E-3</v>
      </c>
      <c r="L12" s="83">
        <f t="shared" si="1"/>
        <v>2.2164164721502452E-3</v>
      </c>
      <c r="M12" s="83">
        <f t="shared" si="1"/>
        <v>2.1937293398777923E-3</v>
      </c>
      <c r="N12" s="83">
        <f t="shared" si="1"/>
        <v>2.0699852143913258E-3</v>
      </c>
      <c r="O12" s="83">
        <f t="shared" si="1"/>
        <v>2.1070741632112583E-3</v>
      </c>
      <c r="P12" s="83">
        <f t="shared" si="1"/>
        <v>2.0817373347100554E-3</v>
      </c>
      <c r="Q12" s="91"/>
      <c r="R12" s="80"/>
      <c r="S12" s="83">
        <f t="shared" si="2"/>
        <v>-4.3647500209735325E-2</v>
      </c>
      <c r="T12" s="83">
        <f t="shared" si="3"/>
        <v>-4.2090210103599465E-2</v>
      </c>
      <c r="U12" s="83">
        <f t="shared" si="4"/>
        <v>-3.3816425120772944E-2</v>
      </c>
      <c r="V12" s="83">
        <f t="shared" si="4"/>
        <v>-5.4794520547945202E-2</v>
      </c>
      <c r="W12" s="83">
        <f t="shared" si="4"/>
        <v>4.2857142857142858E-2</v>
      </c>
      <c r="X12" s="83">
        <f t="shared" si="4"/>
        <v>-3.669724770642202E-2</v>
      </c>
      <c r="Y12" s="83">
        <f t="shared" si="4"/>
        <v>-0.128</v>
      </c>
    </row>
    <row r="13" spans="2:25" x14ac:dyDescent="0.25">
      <c r="B13" s="56" t="s">
        <v>188</v>
      </c>
      <c r="C13" s="80">
        <f t="shared" si="7"/>
        <v>1161</v>
      </c>
      <c r="D13" s="80">
        <f t="shared" si="7"/>
        <v>1002</v>
      </c>
      <c r="E13" s="80">
        <f t="shared" si="7"/>
        <v>792</v>
      </c>
      <c r="F13" s="80">
        <f t="shared" si="7"/>
        <v>1033</v>
      </c>
      <c r="G13" s="80">
        <f t="shared" si="7"/>
        <v>1165</v>
      </c>
      <c r="H13" s="80">
        <f t="shared" si="7"/>
        <v>1345</v>
      </c>
      <c r="I13" s="80"/>
      <c r="K13" s="83">
        <f t="shared" si="1"/>
        <v>1.2826886745550364E-2</v>
      </c>
      <c r="L13" s="83">
        <f t="shared" si="1"/>
        <v>1.0728740604321477E-2</v>
      </c>
      <c r="M13" s="83">
        <f t="shared" si="1"/>
        <v>7.9334869277772214E-3</v>
      </c>
      <c r="N13" s="83">
        <f t="shared" si="1"/>
        <v>1.0182355840315425E-2</v>
      </c>
      <c r="O13" s="83">
        <f t="shared" si="1"/>
        <v>1.1260281652023467E-2</v>
      </c>
      <c r="P13" s="83">
        <f t="shared" si="1"/>
        <v>1.1199746860740099E-2</v>
      </c>
      <c r="Q13" s="91"/>
      <c r="R13" s="80"/>
      <c r="S13" s="83">
        <f t="shared" si="2"/>
        <v>-2.8993835467276595E-2</v>
      </c>
      <c r="T13" s="83">
        <f t="shared" si="3"/>
        <v>-1.1320126458029781E-2</v>
      </c>
      <c r="U13" s="83">
        <f t="shared" si="4"/>
        <v>0.15868263473053892</v>
      </c>
      <c r="V13" s="83">
        <f t="shared" si="4"/>
        <v>0.26515151515151514</v>
      </c>
      <c r="W13" s="83">
        <f t="shared" si="4"/>
        <v>-0.23330106485963215</v>
      </c>
      <c r="X13" s="83">
        <f t="shared" si="4"/>
        <v>-0.11330472103004292</v>
      </c>
      <c r="Y13" s="83">
        <f t="shared" si="4"/>
        <v>-0.13382899628252787</v>
      </c>
    </row>
    <row r="14" spans="2:25" x14ac:dyDescent="0.25">
      <c r="B14" s="56" t="s">
        <v>189</v>
      </c>
      <c r="C14" s="63">
        <f t="shared" si="7"/>
        <v>51681</v>
      </c>
      <c r="D14" s="63">
        <f t="shared" si="7"/>
        <v>52107</v>
      </c>
      <c r="E14" s="63">
        <f t="shared" si="7"/>
        <v>52795</v>
      </c>
      <c r="F14" s="63">
        <f t="shared" si="7"/>
        <v>53693</v>
      </c>
      <c r="G14" s="63">
        <f t="shared" si="7"/>
        <v>52976</v>
      </c>
      <c r="H14" s="63">
        <f t="shared" si="7"/>
        <v>66564</v>
      </c>
      <c r="I14" s="80"/>
      <c r="K14" s="84">
        <f t="shared" si="1"/>
        <v>0.57097875443306489</v>
      </c>
      <c r="L14" s="84">
        <f t="shared" si="1"/>
        <v>0.55792663340257409</v>
      </c>
      <c r="M14" s="84">
        <f t="shared" si="1"/>
        <v>0.52884904337373539</v>
      </c>
      <c r="N14" s="84">
        <f t="shared" si="1"/>
        <v>0.52925579103006404</v>
      </c>
      <c r="O14" s="84">
        <f t="shared" si="1"/>
        <v>0.51203835261596153</v>
      </c>
      <c r="P14" s="84">
        <f t="shared" si="1"/>
        <v>0.55427505579056058</v>
      </c>
      <c r="Q14" s="91"/>
      <c r="R14" s="80"/>
      <c r="S14" s="84">
        <f t="shared" si="2"/>
        <v>-4.9355151101330576E-2</v>
      </c>
      <c r="T14" s="84">
        <f t="shared" si="3"/>
        <v>-4.5706334219007737E-2</v>
      </c>
      <c r="U14" s="84">
        <f t="shared" si="4"/>
        <v>-8.175485059588922E-3</v>
      </c>
      <c r="V14" s="84">
        <f t="shared" si="4"/>
        <v>-1.3031537077374752E-2</v>
      </c>
      <c r="W14" s="84">
        <f t="shared" si="4"/>
        <v>-1.6724712718603915E-2</v>
      </c>
      <c r="X14" s="84">
        <f t="shared" si="4"/>
        <v>1.3534430685593476E-2</v>
      </c>
      <c r="Y14" s="84">
        <f t="shared" si="4"/>
        <v>-0.20413436692506459</v>
      </c>
    </row>
    <row r="15" spans="2:25" x14ac:dyDescent="0.25">
      <c r="B15" s="56" t="s">
        <v>264</v>
      </c>
      <c r="C15" s="80">
        <f t="shared" si="7"/>
        <v>53042</v>
      </c>
      <c r="D15" s="80">
        <f t="shared" si="7"/>
        <v>53316</v>
      </c>
      <c r="E15" s="80">
        <f t="shared" si="7"/>
        <v>53806</v>
      </c>
      <c r="F15" s="80">
        <f t="shared" si="7"/>
        <v>54936</v>
      </c>
      <c r="G15" s="80">
        <f t="shared" si="7"/>
        <v>54359</v>
      </c>
      <c r="H15" s="80">
        <f t="shared" si="7"/>
        <v>68159</v>
      </c>
      <c r="I15" s="80"/>
      <c r="K15" s="83">
        <f t="shared" si="1"/>
        <v>0.58601526852496322</v>
      </c>
      <c r="L15" s="83">
        <f t="shared" si="1"/>
        <v>0.57087179047904579</v>
      </c>
      <c r="M15" s="83">
        <f t="shared" si="1"/>
        <v>0.5389762596413904</v>
      </c>
      <c r="N15" s="83">
        <f t="shared" si="1"/>
        <v>0.54150813208477078</v>
      </c>
      <c r="O15" s="83">
        <f t="shared" si="1"/>
        <v>0.52540570843119627</v>
      </c>
      <c r="P15" s="83">
        <f t="shared" si="1"/>
        <v>0.56755653998601074</v>
      </c>
      <c r="Q15" s="91"/>
      <c r="R15" s="80"/>
      <c r="S15" s="83">
        <f t="shared" si="2"/>
        <v>-4.8914991315140578E-2</v>
      </c>
      <c r="T15" s="83">
        <f t="shared" si="3"/>
        <v>-4.5333698541086258E-2</v>
      </c>
      <c r="U15" s="83">
        <f t="shared" si="4"/>
        <v>-5.1391702303248557E-3</v>
      </c>
      <c r="V15" s="83">
        <f t="shared" si="4"/>
        <v>-9.106791064193584E-3</v>
      </c>
      <c r="W15" s="83">
        <f t="shared" si="4"/>
        <v>-2.056938983544488E-2</v>
      </c>
      <c r="X15" s="83">
        <f t="shared" si="4"/>
        <v>1.0614617634614323E-2</v>
      </c>
      <c r="Y15" s="83">
        <f t="shared" si="4"/>
        <v>-0.20246775921008231</v>
      </c>
    </row>
    <row r="16" spans="2:25" x14ac:dyDescent="0.25">
      <c r="B16" s="56" t="s">
        <v>191</v>
      </c>
      <c r="C16" s="63">
        <f t="shared" si="7"/>
        <v>-4212</v>
      </c>
      <c r="D16" s="63">
        <f t="shared" si="7"/>
        <v>-3868</v>
      </c>
      <c r="E16" s="63">
        <f t="shared" si="7"/>
        <v>-3563</v>
      </c>
      <c r="F16" s="63">
        <f t="shared" si="7"/>
        <v>-3187</v>
      </c>
      <c r="G16" s="63">
        <f t="shared" si="7"/>
        <v>-2584</v>
      </c>
      <c r="H16" s="63">
        <f t="shared" si="7"/>
        <v>-2089</v>
      </c>
      <c r="I16" s="80"/>
      <c r="K16" s="84">
        <f t="shared" si="1"/>
        <v>-4.6534751914089692E-2</v>
      </c>
      <c r="L16" s="84">
        <f t="shared" si="1"/>
        <v>-4.1415936783947574E-2</v>
      </c>
      <c r="M16" s="84">
        <f t="shared" si="1"/>
        <v>-3.5690674146048283E-2</v>
      </c>
      <c r="N16" s="84">
        <f t="shared" si="1"/>
        <v>-3.1414489896500739E-2</v>
      </c>
      <c r="O16" s="84">
        <f t="shared" si="1"/>
        <v>-2.4975594668522439E-2</v>
      </c>
      <c r="P16" s="84">
        <f t="shared" si="1"/>
        <v>-1.7394997168837224E-2</v>
      </c>
      <c r="Q16" s="91"/>
      <c r="R16" s="80"/>
      <c r="S16" s="84">
        <f t="shared" si="2"/>
        <v>0.15056188918356203</v>
      </c>
      <c r="T16" s="84">
        <f t="shared" si="3"/>
        <v>0.15256615518164868</v>
      </c>
      <c r="U16" s="84">
        <f t="shared" si="4"/>
        <v>8.8934850051706302E-2</v>
      </c>
      <c r="V16" s="84">
        <f t="shared" si="4"/>
        <v>8.560202076901488E-2</v>
      </c>
      <c r="W16" s="84">
        <f t="shared" si="4"/>
        <v>0.11797929086915594</v>
      </c>
      <c r="X16" s="84">
        <f t="shared" si="4"/>
        <v>0.23335913312693499</v>
      </c>
      <c r="Y16" s="84">
        <f t="shared" si="4"/>
        <v>0.2369554810914313</v>
      </c>
    </row>
    <row r="17" spans="2:25" x14ac:dyDescent="0.25">
      <c r="B17" s="54" t="s">
        <v>82</v>
      </c>
      <c r="C17" s="19">
        <v>6740</v>
      </c>
      <c r="D17" s="19">
        <v>6806</v>
      </c>
      <c r="E17" s="19">
        <v>6876</v>
      </c>
      <c r="F17" s="19">
        <v>7055</v>
      </c>
      <c r="G17" s="19">
        <v>7078</v>
      </c>
      <c r="H17" s="19">
        <v>7061</v>
      </c>
      <c r="K17" s="83">
        <f t="shared" si="1"/>
        <v>7.4464441571928899E-2</v>
      </c>
      <c r="L17" s="83">
        <f t="shared" si="1"/>
        <v>7.2874060432147669E-2</v>
      </c>
      <c r="M17" s="83">
        <f t="shared" si="1"/>
        <v>6.8877091054793144E-2</v>
      </c>
      <c r="N17" s="83">
        <f t="shared" si="1"/>
        <v>6.9541646131099061E-2</v>
      </c>
      <c r="O17" s="83">
        <f t="shared" si="1"/>
        <v>6.8412251959675624E-2</v>
      </c>
      <c r="P17" s="83">
        <f t="shared" si="1"/>
        <v>5.8796589281550814E-2</v>
      </c>
      <c r="Q17" s="91"/>
      <c r="R17" s="80"/>
      <c r="S17" s="83">
        <f t="shared" si="2"/>
        <v>-9.2621911140529506E-3</v>
      </c>
      <c r="T17" s="83">
        <f t="shared" si="3"/>
        <v>-9.2183308706207286E-3</v>
      </c>
      <c r="U17" s="83">
        <f t="shared" si="4"/>
        <v>-9.6973258889215402E-3</v>
      </c>
      <c r="V17" s="83">
        <f t="shared" si="4"/>
        <v>-1.0180337405468295E-2</v>
      </c>
      <c r="W17" s="83">
        <f t="shared" si="4"/>
        <v>-2.5372076541459957E-2</v>
      </c>
      <c r="X17" s="83">
        <f t="shared" si="4"/>
        <v>-3.2495055100310822E-3</v>
      </c>
      <c r="Y17" s="83">
        <f t="shared" si="4"/>
        <v>2.407590992777227E-3</v>
      </c>
    </row>
    <row r="18" spans="2:25" x14ac:dyDescent="0.25">
      <c r="B18" s="54" t="s">
        <v>265</v>
      </c>
      <c r="C18" s="19">
        <f t="shared" ref="C18:H18" si="8">+C402</f>
        <v>668</v>
      </c>
      <c r="D18" s="19">
        <f t="shared" si="8"/>
        <v>569</v>
      </c>
      <c r="E18" s="19">
        <f t="shared" si="8"/>
        <v>562</v>
      </c>
      <c r="F18" s="19">
        <f t="shared" si="8"/>
        <v>542</v>
      </c>
      <c r="G18" s="19">
        <f t="shared" si="8"/>
        <v>0</v>
      </c>
      <c r="H18" s="19">
        <f t="shared" si="8"/>
        <v>0</v>
      </c>
      <c r="K18" s="83"/>
      <c r="L18" s="83"/>
      <c r="M18" s="83"/>
      <c r="N18" s="83"/>
      <c r="O18" s="83"/>
      <c r="P18" s="83"/>
      <c r="Q18" s="91"/>
      <c r="R18" s="80"/>
      <c r="S18" s="83"/>
      <c r="T18" s="83"/>
      <c r="U18" s="83"/>
      <c r="V18" s="83"/>
      <c r="W18" s="83"/>
      <c r="X18" s="83"/>
      <c r="Y18" s="83"/>
    </row>
    <row r="19" spans="2:25" x14ac:dyDescent="0.25">
      <c r="B19" s="54" t="s">
        <v>266</v>
      </c>
      <c r="C19" s="19">
        <f t="shared" ref="C19:H19" si="9">+C419</f>
        <v>73482</v>
      </c>
      <c r="D19" s="19">
        <f t="shared" si="9"/>
        <v>74838</v>
      </c>
      <c r="E19" s="19">
        <f t="shared" si="9"/>
        <v>79756</v>
      </c>
      <c r="F19" s="19">
        <f t="shared" si="9"/>
        <v>84198</v>
      </c>
      <c r="G19" s="19">
        <f t="shared" si="9"/>
        <v>85971</v>
      </c>
      <c r="H19" s="19">
        <f t="shared" si="9"/>
        <v>104257</v>
      </c>
      <c r="K19" s="83">
        <f t="shared" ref="K19:P21" si="10">+C19/C$21</f>
        <v>0.81183918332173277</v>
      </c>
      <c r="L19" s="83">
        <f t="shared" si="10"/>
        <v>0.80131485962695681</v>
      </c>
      <c r="M19" s="83">
        <f t="shared" si="10"/>
        <v>0.79891816087348488</v>
      </c>
      <c r="N19" s="83">
        <f t="shared" si="10"/>
        <v>0.8299457861015278</v>
      </c>
      <c r="O19" s="83">
        <f t="shared" si="10"/>
        <v>0.83095079305245456</v>
      </c>
      <c r="P19" s="83">
        <f t="shared" si="10"/>
        <v>0.8681427572194651</v>
      </c>
      <c r="Q19" s="91"/>
      <c r="R19" s="80"/>
      <c r="S19" s="83">
        <f t="shared" si="2"/>
        <v>-6.7572338514843566E-2</v>
      </c>
      <c r="T19" s="83">
        <f t="shared" si="3"/>
        <v>-6.5711107885011805E-2</v>
      </c>
      <c r="U19" s="83">
        <f t="shared" si="4"/>
        <v>-1.8119137336647159E-2</v>
      </c>
      <c r="V19" s="83">
        <f t="shared" si="4"/>
        <v>-6.166307237073073E-2</v>
      </c>
      <c r="W19" s="83">
        <f t="shared" si="4"/>
        <v>-5.2756597543884655E-2</v>
      </c>
      <c r="X19" s="83">
        <f t="shared" si="4"/>
        <v>-2.0623233415919321E-2</v>
      </c>
      <c r="Y19" s="83">
        <f t="shared" si="4"/>
        <v>-0.17539349875787716</v>
      </c>
    </row>
    <row r="20" spans="2:25" x14ac:dyDescent="0.25">
      <c r="B20" s="54" t="s">
        <v>25</v>
      </c>
      <c r="C20" s="19">
        <f t="shared" ref="C20:H20" si="11">+C423</f>
        <v>1726</v>
      </c>
      <c r="D20" s="19">
        <f t="shared" si="11"/>
        <v>2187</v>
      </c>
      <c r="E20" s="19">
        <f t="shared" si="11"/>
        <v>1814</v>
      </c>
      <c r="F20" s="19">
        <f t="shared" si="11"/>
        <v>1558</v>
      </c>
      <c r="G20" s="19">
        <f t="shared" si="11"/>
        <v>1337</v>
      </c>
      <c r="H20" s="19">
        <f t="shared" si="11"/>
        <v>1573</v>
      </c>
      <c r="K20" s="83">
        <f t="shared" si="10"/>
        <v>1.906908399898357E-2</v>
      </c>
      <c r="L20" s="83">
        <f t="shared" si="10"/>
        <v>2.3416921857935199E-2</v>
      </c>
      <c r="M20" s="83">
        <f t="shared" si="10"/>
        <v>1.8170890513873585E-2</v>
      </c>
      <c r="N20" s="83">
        <f t="shared" si="10"/>
        <v>1.5357318876293741E-2</v>
      </c>
      <c r="O20" s="83">
        <f t="shared" si="10"/>
        <v>1.2922743835841525E-2</v>
      </c>
      <c r="P20" s="83">
        <f t="shared" si="10"/>
        <v>1.309829130999567E-2</v>
      </c>
      <c r="Q20" s="91"/>
      <c r="R20" s="80"/>
      <c r="S20" s="83">
        <f t="shared" si="2"/>
        <v>1.8737783370035378E-2</v>
      </c>
      <c r="T20" s="83">
        <f t="shared" si="3"/>
        <v>3.4881753604939073E-2</v>
      </c>
      <c r="U20" s="83">
        <f t="shared" si="4"/>
        <v>-0.21079103795153178</v>
      </c>
      <c r="V20" s="83">
        <f t="shared" si="4"/>
        <v>0.20562293274531424</v>
      </c>
      <c r="W20" s="83">
        <f t="shared" si="4"/>
        <v>0.16431322207958921</v>
      </c>
      <c r="X20" s="83">
        <f t="shared" si="4"/>
        <v>0.16529543754674644</v>
      </c>
      <c r="Y20" s="83">
        <f t="shared" si="4"/>
        <v>-0.15003178639542275</v>
      </c>
    </row>
    <row r="21" spans="2:25" ht="15.75" thickBot="1" x14ac:dyDescent="0.3">
      <c r="B21" s="19" t="s">
        <v>84</v>
      </c>
      <c r="C21" s="74">
        <f t="shared" ref="C21:H21" si="12">+C11+SUM(C17:C20)</f>
        <v>90513</v>
      </c>
      <c r="D21" s="74">
        <f t="shared" si="12"/>
        <v>93394</v>
      </c>
      <c r="E21" s="74">
        <f t="shared" si="12"/>
        <v>99830</v>
      </c>
      <c r="F21" s="74">
        <f t="shared" si="12"/>
        <v>101450</v>
      </c>
      <c r="G21" s="74">
        <f t="shared" si="12"/>
        <v>103461</v>
      </c>
      <c r="H21" s="74">
        <f t="shared" si="12"/>
        <v>120092</v>
      </c>
      <c r="I21" s="85"/>
      <c r="K21" s="86">
        <f t="shared" si="10"/>
        <v>1</v>
      </c>
      <c r="L21" s="86">
        <f t="shared" si="10"/>
        <v>1</v>
      </c>
      <c r="M21" s="86">
        <f t="shared" si="10"/>
        <v>1</v>
      </c>
      <c r="N21" s="86">
        <f t="shared" si="10"/>
        <v>1</v>
      </c>
      <c r="O21" s="86">
        <f t="shared" si="10"/>
        <v>1</v>
      </c>
      <c r="P21" s="86">
        <f t="shared" si="10"/>
        <v>1</v>
      </c>
      <c r="Q21" s="91"/>
      <c r="R21" s="80"/>
      <c r="S21" s="86">
        <f t="shared" si="2"/>
        <v>-5.4983532564241197E-2</v>
      </c>
      <c r="T21" s="86">
        <f t="shared" si="3"/>
        <v>-5.3841726418039616E-2</v>
      </c>
      <c r="U21" s="86">
        <f t="shared" si="4"/>
        <v>-3.084780606891235E-2</v>
      </c>
      <c r="V21" s="86">
        <f t="shared" si="4"/>
        <v>-6.4469598317139137E-2</v>
      </c>
      <c r="W21" s="86">
        <f t="shared" si="4"/>
        <v>-1.5968457368161656E-2</v>
      </c>
      <c r="X21" s="86">
        <f t="shared" si="4"/>
        <v>-1.9437275881733215E-2</v>
      </c>
      <c r="Y21" s="86">
        <f t="shared" si="4"/>
        <v>-0.13848549445425173</v>
      </c>
    </row>
    <row r="22" spans="2:25" ht="15.75" thickTop="1" x14ac:dyDescent="0.25">
      <c r="B22" s="19" t="s">
        <v>85</v>
      </c>
      <c r="Q22" s="80"/>
      <c r="R22" s="80"/>
    </row>
    <row r="23" spans="2:25" x14ac:dyDescent="0.25">
      <c r="B23" s="54" t="s">
        <v>267</v>
      </c>
      <c r="C23" s="60">
        <f t="shared" ref="C23:H23" si="13">+C427</f>
        <v>837</v>
      </c>
      <c r="D23" s="60">
        <f t="shared" si="13"/>
        <v>754</v>
      </c>
      <c r="E23" s="60">
        <f t="shared" si="13"/>
        <v>236</v>
      </c>
      <c r="F23" s="60">
        <f t="shared" si="13"/>
        <v>1028</v>
      </c>
      <c r="G23" s="60">
        <f t="shared" si="13"/>
        <v>398</v>
      </c>
      <c r="H23" s="60">
        <f t="shared" si="13"/>
        <v>3195</v>
      </c>
      <c r="I23" s="60"/>
      <c r="K23" s="83">
        <f t="shared" ref="K23:P35" si="14">+C23/C$21</f>
        <v>9.24729044446654E-3</v>
      </c>
      <c r="L23" s="83">
        <f t="shared" si="14"/>
        <v>8.0733237681221495E-3</v>
      </c>
      <c r="M23" s="83">
        <f t="shared" si="14"/>
        <v>2.3640188320144247E-3</v>
      </c>
      <c r="N23" s="83">
        <f t="shared" si="14"/>
        <v>1.0133070478068013E-2</v>
      </c>
      <c r="O23" s="83">
        <f t="shared" si="14"/>
        <v>3.8468601695324806E-3</v>
      </c>
      <c r="P23" s="83">
        <f t="shared" si="14"/>
        <v>2.660460313759451E-2</v>
      </c>
      <c r="Q23" s="91"/>
      <c r="R23" s="80"/>
      <c r="S23" s="83">
        <f t="shared" ref="S23:S35" si="15">RATE(5,0,-H23,C23)</f>
        <v>-0.23501852356897554</v>
      </c>
      <c r="T23" s="83">
        <f t="shared" ref="T23:T35" si="16">AVERAGE(U23:Y23)</f>
        <v>0.4484102054393645</v>
      </c>
      <c r="U23" s="83">
        <f t="shared" ref="U23:Y35" si="17">(+C23-D23)/D23</f>
        <v>0.11007957559681697</v>
      </c>
      <c r="V23" s="83">
        <f t="shared" si="17"/>
        <v>2.1949152542372881</v>
      </c>
      <c r="W23" s="83">
        <f t="shared" si="17"/>
        <v>-0.77042801556420237</v>
      </c>
      <c r="X23" s="83">
        <f t="shared" si="17"/>
        <v>1.5829145728643217</v>
      </c>
      <c r="Y23" s="83">
        <f t="shared" si="17"/>
        <v>-0.87543035993740215</v>
      </c>
    </row>
    <row r="24" spans="2:25" x14ac:dyDescent="0.25">
      <c r="B24" s="54" t="s">
        <v>88</v>
      </c>
      <c r="C24" s="19">
        <v>4848</v>
      </c>
      <c r="D24" s="19">
        <v>4753</v>
      </c>
      <c r="E24" s="19">
        <v>4304</v>
      </c>
      <c r="F24" s="19">
        <v>4003</v>
      </c>
      <c r="G24" s="19">
        <v>4153</v>
      </c>
      <c r="H24" s="19">
        <v>4362</v>
      </c>
      <c r="K24" s="83">
        <f t="shared" si="14"/>
        <v>5.3561366875476454E-2</v>
      </c>
      <c r="L24" s="83">
        <f t="shared" si="14"/>
        <v>5.0891920251836309E-2</v>
      </c>
      <c r="M24" s="83">
        <f t="shared" si="14"/>
        <v>4.3113292597415608E-2</v>
      </c>
      <c r="N24" s="83">
        <f t="shared" si="14"/>
        <v>3.9457861015278463E-2</v>
      </c>
      <c r="O24" s="83">
        <f t="shared" si="14"/>
        <v>4.0140729356955764E-2</v>
      </c>
      <c r="P24" s="83">
        <f t="shared" si="14"/>
        <v>3.6322153016021048E-2</v>
      </c>
      <c r="Q24" s="91"/>
      <c r="R24" s="80"/>
      <c r="S24" s="83">
        <f t="shared" si="15"/>
        <v>2.1351873752623592E-2</v>
      </c>
      <c r="T24" s="83">
        <f t="shared" si="16"/>
        <v>2.3094054588581041E-2</v>
      </c>
      <c r="U24" s="83">
        <f t="shared" si="17"/>
        <v>1.9987376393856511E-2</v>
      </c>
      <c r="V24" s="83">
        <f t="shared" si="17"/>
        <v>0.10432156133828996</v>
      </c>
      <c r="W24" s="83">
        <f t="shared" si="17"/>
        <v>7.5193604796402705E-2</v>
      </c>
      <c r="X24" s="83">
        <f t="shared" si="17"/>
        <v>-3.6118468576932336E-2</v>
      </c>
      <c r="Y24" s="83">
        <f t="shared" si="17"/>
        <v>-4.79138010087116E-2</v>
      </c>
    </row>
    <row r="25" spans="2:25" x14ac:dyDescent="0.25">
      <c r="B25" s="54" t="s">
        <v>268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K25" s="83">
        <f t="shared" si="14"/>
        <v>0</v>
      </c>
      <c r="L25" s="83">
        <f t="shared" si="14"/>
        <v>0</v>
      </c>
      <c r="M25" s="83">
        <f t="shared" si="14"/>
        <v>0</v>
      </c>
      <c r="N25" s="83">
        <f t="shared" si="14"/>
        <v>0</v>
      </c>
      <c r="O25" s="83">
        <f t="shared" si="14"/>
        <v>0</v>
      </c>
      <c r="P25" s="83">
        <f t="shared" si="14"/>
        <v>0</v>
      </c>
      <c r="Q25" s="91"/>
      <c r="R25" s="80"/>
      <c r="S25" s="83"/>
      <c r="T25" s="83"/>
      <c r="U25" s="83"/>
      <c r="V25" s="83"/>
      <c r="W25" s="83"/>
      <c r="X25" s="83"/>
      <c r="Y25" s="83"/>
    </row>
    <row r="26" spans="2:25" x14ac:dyDescent="0.25">
      <c r="B26" s="54" t="s">
        <v>269</v>
      </c>
      <c r="C26" s="19">
        <f t="shared" ref="C26:H26" si="18">+C403</f>
        <v>125</v>
      </c>
      <c r="D26" s="19">
        <f t="shared" si="18"/>
        <v>133</v>
      </c>
      <c r="E26" s="19">
        <f t="shared" si="18"/>
        <v>135</v>
      </c>
      <c r="F26" s="19">
        <f t="shared" si="18"/>
        <v>147</v>
      </c>
      <c r="G26" s="19">
        <f t="shared" si="18"/>
        <v>0</v>
      </c>
      <c r="H26" s="19">
        <f t="shared" si="18"/>
        <v>0</v>
      </c>
      <c r="K26" s="83"/>
      <c r="L26" s="83"/>
      <c r="M26" s="83"/>
      <c r="N26" s="83"/>
      <c r="O26" s="83"/>
      <c r="P26" s="83"/>
      <c r="Q26" s="91"/>
      <c r="R26" s="80"/>
      <c r="S26" s="83"/>
      <c r="T26" s="83"/>
      <c r="U26" s="83"/>
      <c r="V26" s="83"/>
      <c r="W26" s="83"/>
      <c r="X26" s="83"/>
      <c r="Y26" s="83"/>
    </row>
    <row r="27" spans="2:25" x14ac:dyDescent="0.25">
      <c r="B27" s="54" t="s">
        <v>270</v>
      </c>
      <c r="C27" s="19">
        <f t="shared" ref="C27:H27" si="19">+C435</f>
        <v>3218</v>
      </c>
      <c r="D27" s="19">
        <f t="shared" si="19"/>
        <v>3424</v>
      </c>
      <c r="E27" s="19">
        <f t="shared" si="19"/>
        <v>3386</v>
      </c>
      <c r="F27" s="19">
        <f t="shared" si="19"/>
        <v>2697</v>
      </c>
      <c r="G27" s="19">
        <f t="shared" si="19"/>
        <v>2952</v>
      </c>
      <c r="H27" s="19">
        <f t="shared" si="19"/>
        <v>2597</v>
      </c>
      <c r="K27" s="84">
        <f t="shared" si="14"/>
        <v>3.5552904002739937E-2</v>
      </c>
      <c r="L27" s="84">
        <f t="shared" si="14"/>
        <v>3.6661884061074589E-2</v>
      </c>
      <c r="M27" s="84">
        <f t="shared" si="14"/>
        <v>3.3917660022037464E-2</v>
      </c>
      <c r="N27" s="84">
        <f t="shared" si="14"/>
        <v>2.6584524396254312E-2</v>
      </c>
      <c r="O27" s="84">
        <f t="shared" si="14"/>
        <v>2.8532490503668049E-2</v>
      </c>
      <c r="P27" s="84">
        <f t="shared" si="14"/>
        <v>2.1625087432968058E-2</v>
      </c>
      <c r="Q27" s="91"/>
      <c r="R27" s="80"/>
      <c r="S27" s="84">
        <f t="shared" si="15"/>
        <v>4.3813280300541678E-2</v>
      </c>
      <c r="T27" s="84">
        <f t="shared" si="16"/>
        <v>5.1368448798014457E-2</v>
      </c>
      <c r="U27" s="84">
        <f t="shared" si="17"/>
        <v>-6.0163551401869159E-2</v>
      </c>
      <c r="V27" s="84">
        <f t="shared" si="17"/>
        <v>1.1222681630242174E-2</v>
      </c>
      <c r="W27" s="84">
        <f t="shared" si="17"/>
        <v>0.25546903967371154</v>
      </c>
      <c r="X27" s="84">
        <f t="shared" si="17"/>
        <v>-8.6382113821138209E-2</v>
      </c>
      <c r="Y27" s="84">
        <f t="shared" si="17"/>
        <v>0.13669618790912591</v>
      </c>
    </row>
    <row r="28" spans="2:25" x14ac:dyDescent="0.25">
      <c r="B28" s="19" t="s">
        <v>30</v>
      </c>
      <c r="C28" s="57">
        <f t="shared" ref="C28:H28" si="20">SUM(C23:C27)</f>
        <v>9028</v>
      </c>
      <c r="D28" s="57">
        <f t="shared" si="20"/>
        <v>9064</v>
      </c>
      <c r="E28" s="57">
        <f t="shared" si="20"/>
        <v>8061</v>
      </c>
      <c r="F28" s="57">
        <f t="shared" si="20"/>
        <v>7875</v>
      </c>
      <c r="G28" s="57">
        <f t="shared" si="20"/>
        <v>7503</v>
      </c>
      <c r="H28" s="57">
        <f t="shared" si="20"/>
        <v>10154</v>
      </c>
      <c r="I28" s="80"/>
      <c r="K28" s="83">
        <f t="shared" si="14"/>
        <v>9.9742578414150448E-2</v>
      </c>
      <c r="L28" s="83">
        <f t="shared" si="14"/>
        <v>9.7051202432704459E-2</v>
      </c>
      <c r="M28" s="83">
        <f t="shared" si="14"/>
        <v>8.0747270359611337E-2</v>
      </c>
      <c r="N28" s="83">
        <f t="shared" si="14"/>
        <v>7.7624445539674722E-2</v>
      </c>
      <c r="O28" s="83">
        <f t="shared" si="14"/>
        <v>7.2520080030156295E-2</v>
      </c>
      <c r="P28" s="83">
        <f t="shared" si="14"/>
        <v>8.4551843586583617E-2</v>
      </c>
      <c r="Q28" s="91"/>
      <c r="R28" s="80"/>
      <c r="S28" s="83">
        <f t="shared" si="15"/>
        <v>-2.3233225607619739E-2</v>
      </c>
      <c r="T28" s="83">
        <f t="shared" si="16"/>
        <v>-1.3485133717464421E-2</v>
      </c>
      <c r="U28" s="83">
        <f t="shared" si="17"/>
        <v>-3.9717563989408646E-3</v>
      </c>
      <c r="V28" s="83">
        <f t="shared" si="17"/>
        <v>0.12442624984493239</v>
      </c>
      <c r="W28" s="83">
        <f t="shared" si="17"/>
        <v>2.3619047619047619E-2</v>
      </c>
      <c r="X28" s="83">
        <f t="shared" si="17"/>
        <v>4.9580167932826873E-2</v>
      </c>
      <c r="Y28" s="83">
        <f t="shared" si="17"/>
        <v>-0.26107937758518812</v>
      </c>
    </row>
    <row r="29" spans="2:25" x14ac:dyDescent="0.25">
      <c r="B29" s="54" t="s">
        <v>31</v>
      </c>
      <c r="C29" s="19">
        <v>19233</v>
      </c>
      <c r="D29" s="19">
        <v>21061</v>
      </c>
      <c r="E29" s="19">
        <v>28070</v>
      </c>
      <c r="F29" s="19">
        <v>28216</v>
      </c>
      <c r="G29" s="19">
        <v>30770</v>
      </c>
      <c r="H29" s="19">
        <v>28308</v>
      </c>
      <c r="K29" s="83">
        <f t="shared" si="14"/>
        <v>0.21248881376155912</v>
      </c>
      <c r="L29" s="83">
        <f t="shared" si="14"/>
        <v>0.22550699188384693</v>
      </c>
      <c r="M29" s="83">
        <f t="shared" si="14"/>
        <v>0.28117800260442755</v>
      </c>
      <c r="N29" s="83">
        <f t="shared" si="14"/>
        <v>0.27812715623459833</v>
      </c>
      <c r="O29" s="83">
        <f t="shared" si="14"/>
        <v>0.29740675230280011</v>
      </c>
      <c r="P29" s="83">
        <f t="shared" si="14"/>
        <v>0.23571928188388902</v>
      </c>
      <c r="Q29" s="91"/>
      <c r="R29" s="80"/>
      <c r="S29" s="83">
        <f t="shared" si="15"/>
        <v>-7.4390999611951406E-2</v>
      </c>
      <c r="T29" s="83">
        <f t="shared" si="16"/>
        <v>-6.7539619547069094E-2</v>
      </c>
      <c r="U29" s="83">
        <f t="shared" si="17"/>
        <v>-8.6795498789231276E-2</v>
      </c>
      <c r="V29" s="83">
        <f t="shared" si="17"/>
        <v>-0.24969718560741005</v>
      </c>
      <c r="W29" s="83">
        <f t="shared" si="17"/>
        <v>-5.1743691522540399E-3</v>
      </c>
      <c r="X29" s="83">
        <f t="shared" si="17"/>
        <v>-8.3002924926876831E-2</v>
      </c>
      <c r="Y29" s="83">
        <f t="shared" si="17"/>
        <v>8.6971880740426735E-2</v>
      </c>
    </row>
    <row r="30" spans="2:25" x14ac:dyDescent="0.25">
      <c r="B30" s="54" t="s">
        <v>271</v>
      </c>
      <c r="C30" s="19">
        <f t="shared" ref="C30:H30" si="21">+C404</f>
        <v>585</v>
      </c>
      <c r="D30" s="19">
        <f t="shared" si="21"/>
        <v>484</v>
      </c>
      <c r="E30" s="19">
        <f t="shared" si="21"/>
        <v>475</v>
      </c>
      <c r="F30" s="19">
        <f t="shared" si="21"/>
        <v>454</v>
      </c>
      <c r="G30" s="19">
        <f t="shared" si="21"/>
        <v>0</v>
      </c>
      <c r="H30" s="19">
        <f t="shared" si="21"/>
        <v>0</v>
      </c>
      <c r="K30" s="83"/>
      <c r="L30" s="83"/>
      <c r="M30" s="83"/>
      <c r="N30" s="83"/>
      <c r="O30" s="83"/>
      <c r="P30" s="83"/>
      <c r="Q30" s="91"/>
      <c r="R30" s="80"/>
      <c r="S30" s="83"/>
      <c r="T30" s="83"/>
      <c r="U30" s="83"/>
      <c r="V30" s="83"/>
      <c r="W30" s="83"/>
      <c r="X30" s="83"/>
      <c r="Y30" s="83"/>
    </row>
    <row r="31" spans="2:25" x14ac:dyDescent="0.25">
      <c r="B31" s="54" t="s">
        <v>272</v>
      </c>
      <c r="C31" s="19">
        <f t="shared" ref="C31:H31" si="22">+C442</f>
        <v>12797</v>
      </c>
      <c r="D31" s="19">
        <f t="shared" si="22"/>
        <v>13333</v>
      </c>
      <c r="E31" s="19">
        <f t="shared" si="22"/>
        <v>12981</v>
      </c>
      <c r="F31" s="19">
        <f t="shared" si="22"/>
        <v>13156</v>
      </c>
      <c r="G31" s="19">
        <f t="shared" si="22"/>
        <v>13410</v>
      </c>
      <c r="H31" s="19">
        <f t="shared" si="22"/>
        <v>15554</v>
      </c>
      <c r="K31" s="84">
        <f t="shared" si="14"/>
        <v>0.14138300575607923</v>
      </c>
      <c r="L31" s="84">
        <f t="shared" si="14"/>
        <v>0.14276077692357111</v>
      </c>
      <c r="M31" s="84">
        <f t="shared" si="14"/>
        <v>0.13003105278974256</v>
      </c>
      <c r="N31" s="84">
        <f t="shared" si="14"/>
        <v>0.12967964514539182</v>
      </c>
      <c r="O31" s="84">
        <f t="shared" si="14"/>
        <v>0.12961405747093108</v>
      </c>
      <c r="P31" s="84">
        <f t="shared" si="14"/>
        <v>0.12951737001632083</v>
      </c>
      <c r="Q31" s="91"/>
      <c r="R31" s="80"/>
      <c r="S31" s="84">
        <f t="shared" si="15"/>
        <v>-3.8269885912254428E-2</v>
      </c>
      <c r="T31" s="84">
        <f t="shared" si="16"/>
        <v>-3.6633961987977935E-2</v>
      </c>
      <c r="U31" s="84">
        <f t="shared" si="17"/>
        <v>-4.0201005025125629E-2</v>
      </c>
      <c r="V31" s="84">
        <f t="shared" si="17"/>
        <v>2.7116554964948771E-2</v>
      </c>
      <c r="W31" s="84">
        <f t="shared" si="17"/>
        <v>-1.330191547582852E-2</v>
      </c>
      <c r="X31" s="84">
        <f t="shared" si="17"/>
        <v>-1.8941088739746457E-2</v>
      </c>
      <c r="Y31" s="84">
        <f t="shared" si="17"/>
        <v>-0.13784235566413786</v>
      </c>
    </row>
    <row r="32" spans="2:25" x14ac:dyDescent="0.25">
      <c r="B32" s="19" t="s">
        <v>97</v>
      </c>
      <c r="C32" s="57">
        <f t="shared" ref="C32:H32" si="23">SUM(C28:C31)</f>
        <v>41643</v>
      </c>
      <c r="D32" s="57">
        <f t="shared" si="23"/>
        <v>43942</v>
      </c>
      <c r="E32" s="57">
        <f t="shared" si="23"/>
        <v>49587</v>
      </c>
      <c r="F32" s="57">
        <f t="shared" si="23"/>
        <v>49701</v>
      </c>
      <c r="G32" s="57">
        <f t="shared" si="23"/>
        <v>51683</v>
      </c>
      <c r="H32" s="57">
        <f t="shared" si="23"/>
        <v>54016</v>
      </c>
      <c r="I32" s="80"/>
      <c r="K32" s="83">
        <f t="shared" si="14"/>
        <v>0.46007755791985683</v>
      </c>
      <c r="L32" s="83">
        <f t="shared" si="14"/>
        <v>0.47050131700109216</v>
      </c>
      <c r="M32" s="83">
        <f t="shared" si="14"/>
        <v>0.49671441450465792</v>
      </c>
      <c r="N32" s="83">
        <f t="shared" si="14"/>
        <v>0.48990635781172992</v>
      </c>
      <c r="O32" s="83">
        <f t="shared" si="14"/>
        <v>0.49954088980388744</v>
      </c>
      <c r="P32" s="83">
        <f t="shared" si="14"/>
        <v>0.44978849548679345</v>
      </c>
      <c r="Q32" s="91"/>
      <c r="R32" s="80"/>
      <c r="S32" s="83">
        <f t="shared" si="15"/>
        <v>-5.0699045239239016E-2</v>
      </c>
      <c r="T32" s="83">
        <f t="shared" si="16"/>
        <v>-4.9998615364267002E-2</v>
      </c>
      <c r="U32" s="83">
        <f t="shared" si="17"/>
        <v>-5.231896590960812E-2</v>
      </c>
      <c r="V32" s="83">
        <f t="shared" si="17"/>
        <v>-0.1138403210518886</v>
      </c>
      <c r="W32" s="83">
        <f t="shared" si="17"/>
        <v>-2.2937164242168165E-3</v>
      </c>
      <c r="X32" s="83">
        <f t="shared" si="17"/>
        <v>-3.8349167037517173E-2</v>
      </c>
      <c r="Y32" s="83">
        <f t="shared" si="17"/>
        <v>-4.3190906398104266E-2</v>
      </c>
    </row>
    <row r="33" spans="1:25" x14ac:dyDescent="0.25">
      <c r="B33" s="19" t="s">
        <v>98</v>
      </c>
      <c r="C33" s="19">
        <v>40</v>
      </c>
      <c r="D33" s="19">
        <v>4</v>
      </c>
      <c r="E33" s="19">
        <v>0</v>
      </c>
      <c r="F33" s="19">
        <v>0</v>
      </c>
      <c r="G33" s="19">
        <v>3</v>
      </c>
      <c r="H33" s="19">
        <v>6</v>
      </c>
      <c r="K33" s="83">
        <f t="shared" si="14"/>
        <v>4.4192546926960768E-4</v>
      </c>
      <c r="L33" s="83">
        <f t="shared" si="14"/>
        <v>4.2829303809666572E-5</v>
      </c>
      <c r="M33" s="83">
        <f t="shared" si="14"/>
        <v>0</v>
      </c>
      <c r="N33" s="83">
        <f t="shared" si="14"/>
        <v>0</v>
      </c>
      <c r="O33" s="83">
        <f t="shared" si="14"/>
        <v>2.8996433438687043E-5</v>
      </c>
      <c r="P33" s="83">
        <f t="shared" si="14"/>
        <v>4.9961696033041334E-5</v>
      </c>
      <c r="Q33" s="91"/>
      <c r="R33" s="80"/>
      <c r="S33" s="83">
        <f t="shared" si="15"/>
        <v>0.46144255162042197</v>
      </c>
      <c r="T33" s="83">
        <f t="shared" si="16"/>
        <v>2.5</v>
      </c>
      <c r="U33" s="83">
        <f t="shared" si="17"/>
        <v>9</v>
      </c>
      <c r="V33" s="83"/>
      <c r="W33" s="83"/>
      <c r="X33" s="83">
        <f t="shared" si="17"/>
        <v>-1</v>
      </c>
      <c r="Y33" s="83">
        <f t="shared" si="17"/>
        <v>-0.5</v>
      </c>
    </row>
    <row r="34" spans="1:25" x14ac:dyDescent="0.25">
      <c r="B34" s="19" t="s">
        <v>106</v>
      </c>
      <c r="C34" s="80">
        <f t="shared" ref="C34:H34" si="24">+C450</f>
        <v>48830</v>
      </c>
      <c r="D34" s="80">
        <f t="shared" si="24"/>
        <v>49448</v>
      </c>
      <c r="E34" s="80">
        <f t="shared" si="24"/>
        <v>50243</v>
      </c>
      <c r="F34" s="80">
        <f t="shared" si="24"/>
        <v>51749</v>
      </c>
      <c r="G34" s="80">
        <f t="shared" si="24"/>
        <v>51775</v>
      </c>
      <c r="H34" s="80">
        <f t="shared" si="24"/>
        <v>66070</v>
      </c>
      <c r="I34" s="80"/>
      <c r="K34" s="83">
        <f t="shared" si="14"/>
        <v>0.53948051661087359</v>
      </c>
      <c r="L34" s="83">
        <f t="shared" si="14"/>
        <v>0.52945585369509818</v>
      </c>
      <c r="M34" s="83">
        <f t="shared" si="14"/>
        <v>0.50328558549534208</v>
      </c>
      <c r="N34" s="83">
        <f t="shared" si="14"/>
        <v>0.51009364218827014</v>
      </c>
      <c r="O34" s="83">
        <f t="shared" si="14"/>
        <v>0.50043011376267388</v>
      </c>
      <c r="P34" s="83">
        <f t="shared" si="14"/>
        <v>0.55016154281717355</v>
      </c>
      <c r="Q34" s="91"/>
      <c r="R34" s="80"/>
      <c r="S34" s="83">
        <f t="shared" si="15"/>
        <v>-5.8681739699202047E-2</v>
      </c>
      <c r="T34" s="83">
        <f t="shared" si="16"/>
        <v>-5.4857339349412525E-2</v>
      </c>
      <c r="U34" s="83">
        <f t="shared" si="17"/>
        <v>-1.2497977673515612E-2</v>
      </c>
      <c r="V34" s="83">
        <f t="shared" si="17"/>
        <v>-1.5823099735286509E-2</v>
      </c>
      <c r="W34" s="83">
        <f t="shared" si="17"/>
        <v>-2.9102011633075034E-2</v>
      </c>
      <c r="X34" s="83">
        <f t="shared" si="17"/>
        <v>-5.0217286335103818E-4</v>
      </c>
      <c r="Y34" s="83">
        <f t="shared" si="17"/>
        <v>-0.21636143484183443</v>
      </c>
    </row>
    <row r="35" spans="1:25" ht="15.75" thickBot="1" x14ac:dyDescent="0.3">
      <c r="B35" s="19" t="s">
        <v>107</v>
      </c>
      <c r="C35" s="74">
        <f>+C34+C33+C32</f>
        <v>90513</v>
      </c>
      <c r="D35" s="74">
        <f t="shared" ref="D35:H35" si="25">+D34+D33+D32</f>
        <v>93394</v>
      </c>
      <c r="E35" s="74">
        <f t="shared" si="25"/>
        <v>99830</v>
      </c>
      <c r="F35" s="74">
        <f t="shared" si="25"/>
        <v>101450</v>
      </c>
      <c r="G35" s="74">
        <f t="shared" si="25"/>
        <v>103461</v>
      </c>
      <c r="H35" s="74">
        <f t="shared" si="25"/>
        <v>120092</v>
      </c>
      <c r="I35" s="85"/>
      <c r="K35" s="86">
        <f t="shared" si="14"/>
        <v>1</v>
      </c>
      <c r="L35" s="86">
        <f t="shared" si="14"/>
        <v>1</v>
      </c>
      <c r="M35" s="86">
        <f t="shared" si="14"/>
        <v>1</v>
      </c>
      <c r="N35" s="86">
        <f t="shared" si="14"/>
        <v>1</v>
      </c>
      <c r="O35" s="86">
        <f t="shared" si="14"/>
        <v>1</v>
      </c>
      <c r="P35" s="86">
        <f t="shared" si="14"/>
        <v>1</v>
      </c>
      <c r="Q35" s="91"/>
      <c r="R35" s="80"/>
      <c r="S35" s="86">
        <f t="shared" si="15"/>
        <v>-5.4983532564241197E-2</v>
      </c>
      <c r="T35" s="86">
        <f t="shared" si="16"/>
        <v>-5.3841726418039616E-2</v>
      </c>
      <c r="U35" s="86">
        <f t="shared" si="17"/>
        <v>-3.084780606891235E-2</v>
      </c>
      <c r="V35" s="86">
        <f t="shared" si="17"/>
        <v>-6.4469598317139137E-2</v>
      </c>
      <c r="W35" s="86">
        <f t="shared" si="17"/>
        <v>-1.5968457368161656E-2</v>
      </c>
      <c r="X35" s="86">
        <f t="shared" si="17"/>
        <v>-1.9437275881733215E-2</v>
      </c>
      <c r="Y35" s="86">
        <f t="shared" si="17"/>
        <v>-0.13848549445425173</v>
      </c>
    </row>
    <row r="36" spans="1:25" ht="15.75" thickTop="1" x14ac:dyDescent="0.25">
      <c r="C36" s="19">
        <f>+C35-C21</f>
        <v>0</v>
      </c>
      <c r="D36" s="19">
        <f t="shared" ref="D36:H36" si="26">+D35-D21</f>
        <v>0</v>
      </c>
      <c r="E36" s="19">
        <f t="shared" si="26"/>
        <v>0</v>
      </c>
      <c r="F36" s="19">
        <f t="shared" si="26"/>
        <v>0</v>
      </c>
      <c r="G36" s="19">
        <f t="shared" si="26"/>
        <v>0</v>
      </c>
      <c r="H36" s="19">
        <f t="shared" si="26"/>
        <v>0</v>
      </c>
      <c r="Q36" s="80"/>
      <c r="R36" s="80"/>
    </row>
    <row r="37" spans="1:25" x14ac:dyDescent="0.25">
      <c r="B37" s="19" t="s">
        <v>108</v>
      </c>
      <c r="C37" s="19">
        <v>1243</v>
      </c>
      <c r="D37" s="19">
        <v>1235</v>
      </c>
      <c r="E37" s="19">
        <v>1228</v>
      </c>
      <c r="F37" s="19">
        <v>1224</v>
      </c>
      <c r="G37" s="19">
        <v>1224</v>
      </c>
      <c r="H37" s="19">
        <v>1221</v>
      </c>
      <c r="R37" s="80"/>
    </row>
    <row r="38" spans="1:25" x14ac:dyDescent="0.25">
      <c r="B38" s="19" t="s">
        <v>109</v>
      </c>
      <c r="C38" s="19">
        <v>-18</v>
      </c>
      <c r="D38" s="19">
        <v>-11</v>
      </c>
      <c r="E38" s="19">
        <v>-5</v>
      </c>
      <c r="F38" s="19">
        <v>-3</v>
      </c>
      <c r="G38" s="19">
        <v>-4</v>
      </c>
      <c r="H38" s="19">
        <v>-2</v>
      </c>
    </row>
    <row r="39" spans="1:25" ht="15.75" thickBot="1" x14ac:dyDescent="0.3">
      <c r="B39" s="19" t="s">
        <v>110</v>
      </c>
      <c r="C39" s="87">
        <f>+C37+C38</f>
        <v>1225</v>
      </c>
      <c r="D39" s="87">
        <f t="shared" ref="D39:H39" si="27">+D37+D38</f>
        <v>1224</v>
      </c>
      <c r="E39" s="87">
        <f t="shared" si="27"/>
        <v>1223</v>
      </c>
      <c r="F39" s="87">
        <f t="shared" si="27"/>
        <v>1221</v>
      </c>
      <c r="G39" s="87">
        <f t="shared" si="27"/>
        <v>1220</v>
      </c>
      <c r="H39" s="87">
        <f t="shared" si="27"/>
        <v>1219</v>
      </c>
      <c r="I39" s="80"/>
    </row>
    <row r="40" spans="1:25" ht="15.75" thickTop="1" x14ac:dyDescent="0.25">
      <c r="B40" s="19" t="s">
        <v>273</v>
      </c>
      <c r="C40" s="24">
        <v>38.130000000000003</v>
      </c>
      <c r="D40" s="24">
        <v>39.22</v>
      </c>
      <c r="E40" s="24">
        <v>36.380000000000003</v>
      </c>
      <c r="F40" s="24">
        <v>24.77</v>
      </c>
      <c r="G40" s="24">
        <v>33.19</v>
      </c>
      <c r="H40" s="24">
        <v>67.14</v>
      </c>
      <c r="I40" s="24"/>
    </row>
    <row r="41" spans="1:25" x14ac:dyDescent="0.25">
      <c r="B41" s="19" t="s">
        <v>111</v>
      </c>
      <c r="C41" s="60">
        <f>+C39*C40</f>
        <v>46709.25</v>
      </c>
      <c r="D41" s="60">
        <f t="shared" ref="D41:H41" si="28">+D39*D40</f>
        <v>48005.279999999999</v>
      </c>
      <c r="E41" s="60">
        <f t="shared" si="28"/>
        <v>44492.740000000005</v>
      </c>
      <c r="F41" s="60">
        <f t="shared" si="28"/>
        <v>30244.17</v>
      </c>
      <c r="G41" s="60">
        <f t="shared" si="28"/>
        <v>40491.799999999996</v>
      </c>
      <c r="H41" s="60">
        <f t="shared" si="28"/>
        <v>81843.66</v>
      </c>
      <c r="I41" s="60"/>
    </row>
    <row r="43" spans="1:25" s="53" customFormat="1" x14ac:dyDescent="0.25">
      <c r="A43" s="59"/>
      <c r="B43" s="66" t="str">
        <f>+B1</f>
        <v>Kraft Heinz Company</v>
      </c>
      <c r="C43" s="66" t="s">
        <v>419</v>
      </c>
      <c r="D43" s="66"/>
      <c r="E43" s="66"/>
      <c r="F43" s="66"/>
      <c r="G43" s="66"/>
      <c r="H43" s="66"/>
      <c r="I43" s="66"/>
    </row>
    <row r="44" spans="1:25" s="53" customFormat="1" x14ac:dyDescent="0.25">
      <c r="B44" s="66" t="s">
        <v>274</v>
      </c>
      <c r="C44" s="66"/>
      <c r="D44" s="66"/>
      <c r="E44" s="66"/>
      <c r="F44" s="66"/>
      <c r="G44" s="66"/>
      <c r="H44" s="66"/>
      <c r="I44" s="66"/>
    </row>
    <row r="45" spans="1:25" s="53" customFormat="1" x14ac:dyDescent="0.25">
      <c r="B45" s="66" t="str">
        <f>+B3</f>
        <v>in millions except per share data</v>
      </c>
      <c r="C45" s="66"/>
      <c r="D45" s="66"/>
      <c r="E45" s="66"/>
      <c r="F45" s="66"/>
      <c r="G45" s="66" t="s">
        <v>262</v>
      </c>
      <c r="H45" s="72" t="s">
        <v>66</v>
      </c>
      <c r="I45" s="67"/>
    </row>
    <row r="46" spans="1:25" s="53" customFormat="1" ht="15.75" thickBot="1" x14ac:dyDescent="0.3">
      <c r="B46" s="67" t="str">
        <f>+B4</f>
        <v>Fiscal year ended 12/31:</v>
      </c>
      <c r="C46" s="69">
        <v>2022</v>
      </c>
      <c r="D46" s="69">
        <v>2021</v>
      </c>
      <c r="E46" s="69">
        <v>2020</v>
      </c>
      <c r="F46" s="69">
        <v>2019</v>
      </c>
      <c r="G46" s="69">
        <v>2018</v>
      </c>
      <c r="H46" s="69">
        <v>2017</v>
      </c>
      <c r="I46" s="79" t="s">
        <v>275</v>
      </c>
    </row>
    <row r="47" spans="1:25" x14ac:dyDescent="0.25">
      <c r="B47" s="19" t="s">
        <v>276</v>
      </c>
      <c r="C47" s="60">
        <f>+'As Reported'!B68</f>
        <v>2368</v>
      </c>
      <c r="D47" s="60">
        <f>+'As Reported'!C68</f>
        <v>1024</v>
      </c>
      <c r="E47" s="60">
        <f>+'As Reported'!D68</f>
        <v>361</v>
      </c>
      <c r="F47" s="60">
        <f>+'As Reported'!E68</f>
        <v>1933</v>
      </c>
      <c r="G47" s="60">
        <f>+'As Reported'!F68</f>
        <v>-10254</v>
      </c>
      <c r="H47" s="60">
        <f>+'As Reported'!G68</f>
        <v>10932</v>
      </c>
      <c r="I47" s="60">
        <f>SUM(C47:H47)</f>
        <v>6364</v>
      </c>
    </row>
    <row r="48" spans="1:25" x14ac:dyDescent="0.25">
      <c r="B48" s="19" t="s">
        <v>277</v>
      </c>
      <c r="C48" s="19">
        <v>-993</v>
      </c>
      <c r="D48" s="19">
        <v>149</v>
      </c>
      <c r="E48" s="19">
        <v>-78</v>
      </c>
      <c r="F48" s="19">
        <v>-72</v>
      </c>
      <c r="G48" s="19">
        <v>-903</v>
      </c>
      <c r="H48" s="19">
        <v>581</v>
      </c>
      <c r="I48" s="63">
        <f>SUM(C48:H48)</f>
        <v>-1316</v>
      </c>
    </row>
    <row r="49" spans="2:25" x14ac:dyDescent="0.25">
      <c r="B49" s="19" t="s">
        <v>278</v>
      </c>
      <c r="C49" s="57">
        <f t="shared" ref="C49:H49" si="29">SUM(C47:C48)</f>
        <v>1375</v>
      </c>
      <c r="D49" s="57">
        <f t="shared" si="29"/>
        <v>1173</v>
      </c>
      <c r="E49" s="57">
        <f t="shared" si="29"/>
        <v>283</v>
      </c>
      <c r="F49" s="57">
        <f t="shared" si="29"/>
        <v>1861</v>
      </c>
      <c r="G49" s="57">
        <f t="shared" si="29"/>
        <v>-11157</v>
      </c>
      <c r="H49" s="57">
        <f t="shared" si="29"/>
        <v>11513</v>
      </c>
      <c r="I49" s="19">
        <f t="shared" ref="I49:I52" si="30">SUM(C49:H49)</f>
        <v>5048</v>
      </c>
    </row>
    <row r="50" spans="2:25" x14ac:dyDescent="0.25">
      <c r="B50" s="19" t="s">
        <v>55</v>
      </c>
      <c r="C50" s="19">
        <v>-1972</v>
      </c>
      <c r="D50" s="19">
        <v>-1979</v>
      </c>
      <c r="E50" s="19">
        <v>-1973</v>
      </c>
      <c r="F50" s="19">
        <v>-1959</v>
      </c>
      <c r="G50" s="19">
        <v>-3048</v>
      </c>
      <c r="H50" s="19">
        <v>-2988</v>
      </c>
      <c r="I50" s="19">
        <f t="shared" si="30"/>
        <v>-13919</v>
      </c>
    </row>
    <row r="51" spans="2:25" x14ac:dyDescent="0.25">
      <c r="B51" s="19" t="s">
        <v>279</v>
      </c>
      <c r="C51" s="63">
        <f t="shared" ref="C51:H51" si="31">+C52-SUM(C49:C50)</f>
        <v>-21</v>
      </c>
      <c r="D51" s="63">
        <f t="shared" si="31"/>
        <v>11</v>
      </c>
      <c r="E51" s="63">
        <f t="shared" si="31"/>
        <v>184</v>
      </c>
      <c r="F51" s="63">
        <f t="shared" si="31"/>
        <v>72</v>
      </c>
      <c r="G51" s="63">
        <f t="shared" si="31"/>
        <v>-90</v>
      </c>
      <c r="H51" s="63">
        <f t="shared" si="31"/>
        <v>85</v>
      </c>
      <c r="I51" s="63">
        <f t="shared" si="30"/>
        <v>241</v>
      </c>
    </row>
    <row r="52" spans="2:25" x14ac:dyDescent="0.25">
      <c r="B52" s="19" t="s">
        <v>280</v>
      </c>
      <c r="C52" s="19">
        <f>+C54-C53</f>
        <v>-618</v>
      </c>
      <c r="D52" s="19">
        <f t="shared" ref="D52:H52" si="32">+D54-D53</f>
        <v>-795</v>
      </c>
      <c r="E52" s="19">
        <f t="shared" si="32"/>
        <v>-1506</v>
      </c>
      <c r="F52" s="19">
        <f t="shared" si="32"/>
        <v>-26</v>
      </c>
      <c r="G52" s="19">
        <f t="shared" si="32"/>
        <v>-14295</v>
      </c>
      <c r="H52" s="19">
        <f t="shared" si="32"/>
        <v>8610</v>
      </c>
      <c r="I52" s="19">
        <f t="shared" si="30"/>
        <v>-8630</v>
      </c>
    </row>
    <row r="53" spans="2:25" x14ac:dyDescent="0.25">
      <c r="B53" s="19" t="s">
        <v>281</v>
      </c>
      <c r="C53" s="19">
        <f t="shared" ref="C53:F53" si="33">+D54</f>
        <v>49448</v>
      </c>
      <c r="D53" s="19">
        <f t="shared" si="33"/>
        <v>50243</v>
      </c>
      <c r="E53" s="19">
        <f t="shared" si="33"/>
        <v>51749</v>
      </c>
      <c r="F53" s="19">
        <f t="shared" si="33"/>
        <v>51775</v>
      </c>
      <c r="G53" s="19">
        <f>+H54</f>
        <v>66070</v>
      </c>
      <c r="H53" s="19">
        <v>57460</v>
      </c>
      <c r="I53" s="19">
        <f>+H53</f>
        <v>57460</v>
      </c>
    </row>
    <row r="54" spans="2:25" ht="15.75" thickBot="1" x14ac:dyDescent="0.3">
      <c r="B54" s="19" t="s">
        <v>282</v>
      </c>
      <c r="C54" s="74">
        <f t="shared" ref="C54:H54" si="34">+C34</f>
        <v>48830</v>
      </c>
      <c r="D54" s="74">
        <f t="shared" si="34"/>
        <v>49448</v>
      </c>
      <c r="E54" s="74">
        <f t="shared" si="34"/>
        <v>50243</v>
      </c>
      <c r="F54" s="74">
        <f t="shared" si="34"/>
        <v>51749</v>
      </c>
      <c r="G54" s="74">
        <f t="shared" si="34"/>
        <v>51775</v>
      </c>
      <c r="H54" s="74">
        <f t="shared" si="34"/>
        <v>66070</v>
      </c>
      <c r="I54" s="74">
        <f>++I52+I53</f>
        <v>48830</v>
      </c>
    </row>
    <row r="55" spans="2:25" ht="15.75" thickTop="1" x14ac:dyDescent="0.25"/>
    <row r="56" spans="2:25" s="53" customFormat="1" x14ac:dyDescent="0.25">
      <c r="B56" s="66" t="str">
        <f>+B1</f>
        <v>Kraft Heinz Company</v>
      </c>
      <c r="C56" s="66" t="str">
        <f>+C1</f>
        <v>RECURRING</v>
      </c>
      <c r="D56" s="66"/>
      <c r="E56" s="66"/>
      <c r="F56" s="66"/>
      <c r="G56" s="66"/>
      <c r="H56" s="66"/>
      <c r="I56" s="66"/>
      <c r="K56" s="66" t="str">
        <f>+C56</f>
        <v>RECURRING</v>
      </c>
      <c r="L56" s="66"/>
      <c r="M56" s="66"/>
      <c r="N56" s="66"/>
      <c r="O56" s="66"/>
      <c r="P56" s="66"/>
      <c r="Q56" s="66"/>
      <c r="S56" s="66" t="str">
        <f>+C56</f>
        <v>RECURRING</v>
      </c>
      <c r="T56" s="66"/>
      <c r="U56" s="66"/>
      <c r="V56" s="66"/>
      <c r="W56" s="66"/>
      <c r="X56" s="66"/>
      <c r="Y56" s="66"/>
    </row>
    <row r="57" spans="2:25" s="53" customFormat="1" x14ac:dyDescent="0.25">
      <c r="B57" s="66" t="s">
        <v>112</v>
      </c>
      <c r="C57" s="66"/>
      <c r="D57" s="66"/>
      <c r="E57" s="66"/>
      <c r="F57" s="66"/>
      <c r="G57" s="66"/>
      <c r="H57" s="66"/>
      <c r="I57" s="66"/>
      <c r="K57" s="66" t="s">
        <v>113</v>
      </c>
      <c r="L57" s="66"/>
      <c r="M57" s="66"/>
      <c r="N57" s="66"/>
      <c r="O57" s="66"/>
      <c r="P57" s="66"/>
      <c r="Q57" s="66"/>
      <c r="S57" s="66" t="s">
        <v>63</v>
      </c>
      <c r="T57" s="66"/>
      <c r="U57" s="66"/>
      <c r="V57" s="66"/>
      <c r="W57" s="66"/>
      <c r="X57" s="66"/>
      <c r="Y57" s="66"/>
    </row>
    <row r="58" spans="2:25" s="53" customFormat="1" x14ac:dyDescent="0.25">
      <c r="B58" s="66" t="str">
        <f>+B3</f>
        <v>in millions except per share data</v>
      </c>
      <c r="C58" s="66"/>
      <c r="D58" s="66"/>
      <c r="E58" s="66"/>
      <c r="F58" s="66"/>
      <c r="G58" s="66" t="s">
        <v>262</v>
      </c>
      <c r="H58" s="72" t="s">
        <v>66</v>
      </c>
      <c r="I58" s="67"/>
      <c r="K58" s="66"/>
      <c r="L58" s="66"/>
      <c r="M58" s="66"/>
      <c r="N58" s="66"/>
      <c r="O58" s="66"/>
      <c r="P58" s="72" t="s">
        <v>66</v>
      </c>
      <c r="Q58" s="67"/>
      <c r="S58" s="66" t="s">
        <v>67</v>
      </c>
      <c r="T58" s="66" t="s">
        <v>68</v>
      </c>
      <c r="U58" s="66" t="s">
        <v>69</v>
      </c>
      <c r="V58" s="66" t="s">
        <v>70</v>
      </c>
      <c r="W58" s="66" t="s">
        <v>71</v>
      </c>
      <c r="X58" s="66" t="s">
        <v>72</v>
      </c>
      <c r="Y58" s="66" t="s">
        <v>73</v>
      </c>
    </row>
    <row r="59" spans="2:25" s="53" customFormat="1" ht="15.75" thickBot="1" x14ac:dyDescent="0.3">
      <c r="B59" s="67" t="str">
        <f>+B4</f>
        <v>Fiscal year ended 12/31:</v>
      </c>
      <c r="C59" s="69">
        <v>2022</v>
      </c>
      <c r="D59" s="69">
        <v>2021</v>
      </c>
      <c r="E59" s="69">
        <v>2020</v>
      </c>
      <c r="F59" s="69">
        <v>2019</v>
      </c>
      <c r="G59" s="69">
        <v>2018</v>
      </c>
      <c r="H59" s="69">
        <v>2017</v>
      </c>
      <c r="I59" s="69" t="s">
        <v>275</v>
      </c>
      <c r="K59" s="69">
        <v>2022</v>
      </c>
      <c r="L59" s="69">
        <v>2021</v>
      </c>
      <c r="M59" s="69">
        <v>2020</v>
      </c>
      <c r="N59" s="69">
        <v>2019</v>
      </c>
      <c r="O59" s="69">
        <v>2018</v>
      </c>
      <c r="P59" s="69">
        <v>2017</v>
      </c>
      <c r="Q59" s="79" t="s">
        <v>275</v>
      </c>
      <c r="S59" s="70" t="s">
        <v>75</v>
      </c>
      <c r="T59" s="70" t="s">
        <v>76</v>
      </c>
      <c r="U59" s="71">
        <v>2022</v>
      </c>
      <c r="V59" s="71">
        <v>2021</v>
      </c>
      <c r="W59" s="71">
        <v>2020</v>
      </c>
      <c r="X59" s="71">
        <v>2019</v>
      </c>
      <c r="Y59" s="71">
        <v>2018</v>
      </c>
    </row>
    <row r="60" spans="2:25" x14ac:dyDescent="0.25">
      <c r="B60" s="19" t="s">
        <v>115</v>
      </c>
      <c r="C60" s="60">
        <f>Profitability!B60</f>
        <v>26485</v>
      </c>
      <c r="D60" s="60">
        <f>Profitability!C60</f>
        <v>26042</v>
      </c>
      <c r="E60" s="60">
        <f>Profitability!D60</f>
        <v>26185</v>
      </c>
      <c r="F60" s="60">
        <f>Profitability!E60</f>
        <v>24977</v>
      </c>
      <c r="G60" s="60">
        <f>Profitability!F60</f>
        <v>26268</v>
      </c>
      <c r="H60" s="60">
        <f>Profitability!G60</f>
        <v>26076</v>
      </c>
      <c r="I60" s="60">
        <f>SUM(C60:H60)</f>
        <v>156033</v>
      </c>
      <c r="K60" s="83">
        <f t="shared" ref="K60:Q75" si="35">+C60/C$60</f>
        <v>1</v>
      </c>
      <c r="L60" s="83">
        <f t="shared" si="35"/>
        <v>1</v>
      </c>
      <c r="M60" s="83">
        <f t="shared" si="35"/>
        <v>1</v>
      </c>
      <c r="N60" s="83">
        <f t="shared" si="35"/>
        <v>1</v>
      </c>
      <c r="O60" s="83">
        <f t="shared" si="35"/>
        <v>1</v>
      </c>
      <c r="P60" s="83">
        <f t="shared" si="35"/>
        <v>1</v>
      </c>
      <c r="Q60" s="83">
        <f t="shared" si="35"/>
        <v>1</v>
      </c>
      <c r="S60" s="83">
        <f t="shared" ref="S60:S76" si="36">RATE(5,0,-H60,C60)</f>
        <v>3.1174860707707231E-3</v>
      </c>
      <c r="T60" s="83">
        <f t="shared" ref="T60:T76" si="37">AVERAGE(U60:Y60)</f>
        <v>3.626035362061633E-3</v>
      </c>
      <c r="U60" s="83">
        <f t="shared" ref="U60:Y63" si="38">(+C60-D60)/D60</f>
        <v>1.7010982259427078E-2</v>
      </c>
      <c r="V60" s="83">
        <f t="shared" si="38"/>
        <v>-5.4611418751193434E-3</v>
      </c>
      <c r="W60" s="83">
        <f t="shared" si="38"/>
        <v>4.836449533570885E-2</v>
      </c>
      <c r="X60" s="83">
        <f t="shared" si="38"/>
        <v>-4.914725140855794E-2</v>
      </c>
      <c r="Y60" s="83">
        <f t="shared" si="38"/>
        <v>7.3630924988495172E-3</v>
      </c>
    </row>
    <row r="61" spans="2:25" x14ac:dyDescent="0.25">
      <c r="B61" s="54" t="s">
        <v>116</v>
      </c>
      <c r="C61" s="63">
        <f>Profitability!B61</f>
        <v>18363</v>
      </c>
      <c r="D61" s="63">
        <f>Profitability!C61</f>
        <v>17360</v>
      </c>
      <c r="E61" s="63">
        <f>Profitability!D61</f>
        <v>17008</v>
      </c>
      <c r="F61" s="63">
        <f>Profitability!E61</f>
        <v>16830</v>
      </c>
      <c r="G61" s="63">
        <f>Profitability!F61</f>
        <v>17347</v>
      </c>
      <c r="H61" s="63">
        <f>Profitability!G61</f>
        <v>17043</v>
      </c>
      <c r="I61" s="19">
        <f>SUM(C61:H61)</f>
        <v>103951</v>
      </c>
      <c r="K61" s="84">
        <f t="shared" si="35"/>
        <v>0.69333585048140456</v>
      </c>
      <c r="L61" s="84">
        <f t="shared" si="35"/>
        <v>0.66661546732201826</v>
      </c>
      <c r="M61" s="84">
        <f t="shared" si="35"/>
        <v>0.64953217490929926</v>
      </c>
      <c r="N61" s="84">
        <f t="shared" si="35"/>
        <v>0.67381991432117549</v>
      </c>
      <c r="O61" s="84">
        <f t="shared" si="35"/>
        <v>0.66038525963149075</v>
      </c>
      <c r="P61" s="84">
        <f t="shared" si="35"/>
        <v>0.65358950759318912</v>
      </c>
      <c r="Q61" s="84">
        <f t="shared" si="35"/>
        <v>0.66621163471829681</v>
      </c>
      <c r="R61" s="80"/>
      <c r="S61" s="84">
        <f t="shared" si="36"/>
        <v>1.5031495091144084E-2</v>
      </c>
      <c r="T61" s="84">
        <f t="shared" si="37"/>
        <v>1.5416560689107845E-2</v>
      </c>
      <c r="U61" s="84">
        <f t="shared" si="38"/>
        <v>5.7776497695852531E-2</v>
      </c>
      <c r="V61" s="84">
        <f t="shared" si="38"/>
        <v>2.0696142991533398E-2</v>
      </c>
      <c r="W61" s="84">
        <f t="shared" si="38"/>
        <v>1.057635175282234E-2</v>
      </c>
      <c r="X61" s="84">
        <f t="shared" si="38"/>
        <v>-2.9803424223208624E-2</v>
      </c>
      <c r="Y61" s="84">
        <f t="shared" si="38"/>
        <v>1.7837235228539576E-2</v>
      </c>
    </row>
    <row r="62" spans="2:25" x14ac:dyDescent="0.25">
      <c r="B62" s="19" t="s">
        <v>117</v>
      </c>
      <c r="C62" s="19">
        <f>C60-C61</f>
        <v>8122</v>
      </c>
      <c r="D62" s="19">
        <f t="shared" ref="D62:H62" si="39">D60-D61</f>
        <v>8682</v>
      </c>
      <c r="E62" s="19">
        <f t="shared" si="39"/>
        <v>9177</v>
      </c>
      <c r="F62" s="19">
        <f t="shared" si="39"/>
        <v>8147</v>
      </c>
      <c r="G62" s="19">
        <f t="shared" si="39"/>
        <v>8921</v>
      </c>
      <c r="H62" s="19">
        <f t="shared" si="39"/>
        <v>9033</v>
      </c>
      <c r="I62" s="57">
        <f t="shared" ref="I62:I78" si="40">SUM(C62:H62)</f>
        <v>52082</v>
      </c>
      <c r="K62" s="83">
        <f t="shared" si="35"/>
        <v>0.30666414951859544</v>
      </c>
      <c r="L62" s="83">
        <f t="shared" si="35"/>
        <v>0.33338453267798174</v>
      </c>
      <c r="M62" s="83">
        <f t="shared" si="35"/>
        <v>0.35046782509070079</v>
      </c>
      <c r="N62" s="83">
        <f t="shared" si="35"/>
        <v>0.32618008567882451</v>
      </c>
      <c r="O62" s="83">
        <f t="shared" si="35"/>
        <v>0.33961474036850919</v>
      </c>
      <c r="P62" s="83">
        <f t="shared" si="35"/>
        <v>0.34641049240681088</v>
      </c>
      <c r="Q62" s="83">
        <f t="shared" si="35"/>
        <v>0.33378836528170325</v>
      </c>
      <c r="R62" s="80"/>
      <c r="S62" s="83">
        <f t="shared" si="36"/>
        <v>-2.1037186930892088E-2</v>
      </c>
      <c r="T62" s="83">
        <f t="shared" si="37"/>
        <v>-1.8234822504439984E-2</v>
      </c>
      <c r="U62" s="83">
        <f t="shared" si="38"/>
        <v>-6.4501266989172995E-2</v>
      </c>
      <c r="V62" s="83">
        <f t="shared" si="38"/>
        <v>-5.393919581562602E-2</v>
      </c>
      <c r="W62" s="83">
        <f t="shared" si="38"/>
        <v>0.12642690560942679</v>
      </c>
      <c r="X62" s="83">
        <f t="shared" si="38"/>
        <v>-8.6761573814594775E-2</v>
      </c>
      <c r="Y62" s="83">
        <f t="shared" si="38"/>
        <v>-1.2398981512232924E-2</v>
      </c>
    </row>
    <row r="63" spans="2:25" x14ac:dyDescent="0.25">
      <c r="B63" s="54" t="s">
        <v>283</v>
      </c>
      <c r="C63" s="19">
        <f>Profitability!B63</f>
        <v>2503</v>
      </c>
      <c r="D63" s="19">
        <f>Profitability!C63</f>
        <v>2409</v>
      </c>
      <c r="E63" s="19">
        <f>Profitability!D63</f>
        <v>2461</v>
      </c>
      <c r="F63" s="19">
        <f>Profitability!E63</f>
        <v>1966</v>
      </c>
      <c r="G63" s="19">
        <f>Profitability!F63</f>
        <v>1941</v>
      </c>
      <c r="H63" s="19">
        <f>Profitability!G63</f>
        <v>1719</v>
      </c>
      <c r="I63" s="19">
        <f t="shared" si="40"/>
        <v>12999</v>
      </c>
      <c r="K63" s="83">
        <f t="shared" si="35"/>
        <v>9.4506324334528977E-2</v>
      </c>
      <c r="L63" s="83">
        <f t="shared" si="35"/>
        <v>9.2504415943475929E-2</v>
      </c>
      <c r="M63" s="83">
        <f t="shared" si="35"/>
        <v>9.3985105976704217E-2</v>
      </c>
      <c r="N63" s="83">
        <f t="shared" si="35"/>
        <v>7.8712415422188417E-2</v>
      </c>
      <c r="O63" s="83">
        <f t="shared" si="35"/>
        <v>7.3892188213796256E-2</v>
      </c>
      <c r="P63" s="83">
        <f t="shared" si="35"/>
        <v>6.5922687528762083E-2</v>
      </c>
      <c r="Q63" s="83">
        <f t="shared" si="35"/>
        <v>8.3309299955778585E-2</v>
      </c>
      <c r="R63" s="80"/>
      <c r="S63" s="83">
        <f t="shared" si="36"/>
        <v>7.8045260485801612E-2</v>
      </c>
      <c r="T63" s="83">
        <f t="shared" si="37"/>
        <v>8.2339158644776006E-2</v>
      </c>
      <c r="U63" s="83">
        <f t="shared" si="38"/>
        <v>3.9020340390203405E-2</v>
      </c>
      <c r="V63" s="83">
        <f t="shared" si="38"/>
        <v>-2.1129622104835433E-2</v>
      </c>
      <c r="W63" s="83">
        <f t="shared" si="38"/>
        <v>0.25178026449643948</v>
      </c>
      <c r="X63" s="83">
        <f t="shared" si="38"/>
        <v>1.287995878413189E-2</v>
      </c>
      <c r="Y63" s="83">
        <f t="shared" si="38"/>
        <v>0.12914485165794065</v>
      </c>
    </row>
    <row r="64" spans="2:25" x14ac:dyDescent="0.25">
      <c r="B64" s="54" t="s">
        <v>284</v>
      </c>
      <c r="C64" s="19">
        <f>Profitability!B64</f>
        <v>945</v>
      </c>
      <c r="D64" s="19">
        <f>Profitability!C64</f>
        <v>1039</v>
      </c>
      <c r="E64" s="19">
        <f>Profitability!D64</f>
        <v>1070</v>
      </c>
      <c r="F64" s="19">
        <f>Profitability!E64</f>
        <v>1100</v>
      </c>
      <c r="G64" s="19">
        <f>Profitability!F64</f>
        <v>1140</v>
      </c>
      <c r="H64" s="19">
        <f>Profitability!G64</f>
        <v>1115</v>
      </c>
      <c r="I64" s="19">
        <f t="shared" si="40"/>
        <v>6409</v>
      </c>
      <c r="K64" s="83">
        <f t="shared" si="35"/>
        <v>3.568057390976024E-2</v>
      </c>
      <c r="L64" s="83">
        <f t="shared" si="35"/>
        <v>3.9897089317256738E-2</v>
      </c>
      <c r="M64" s="83">
        <f t="shared" si="35"/>
        <v>4.0863089555088793E-2</v>
      </c>
      <c r="N64" s="83">
        <f t="shared" si="35"/>
        <v>4.4040517275893823E-2</v>
      </c>
      <c r="O64" s="83">
        <f t="shared" si="35"/>
        <v>4.3398812243033345E-2</v>
      </c>
      <c r="P64" s="83">
        <f t="shared" si="35"/>
        <v>4.2759625709464642E-2</v>
      </c>
      <c r="Q64" s="83">
        <f t="shared" si="35"/>
        <v>4.1074644466234704E-2</v>
      </c>
      <c r="R64" s="80"/>
      <c r="S64" s="83"/>
      <c r="T64" s="83"/>
      <c r="U64" s="83"/>
      <c r="V64" s="83"/>
      <c r="W64" s="83"/>
      <c r="X64" s="83"/>
      <c r="Y64" s="83"/>
    </row>
    <row r="65" spans="2:25" x14ac:dyDescent="0.25">
      <c r="B65" s="54" t="s">
        <v>285</v>
      </c>
      <c r="C65" s="80">
        <f>Profitability!B65</f>
        <v>127</v>
      </c>
      <c r="D65" s="80">
        <f>Profitability!C65</f>
        <v>140</v>
      </c>
      <c r="E65" s="80">
        <f>Profitability!D65</f>
        <v>119</v>
      </c>
      <c r="F65" s="80">
        <f>Profitability!E65</f>
        <v>112</v>
      </c>
      <c r="G65" s="80">
        <f>Profitability!F65</f>
        <v>109</v>
      </c>
      <c r="H65" s="80">
        <f>Profitability!G65</f>
        <v>93</v>
      </c>
      <c r="I65" s="19">
        <f t="shared" si="40"/>
        <v>700</v>
      </c>
      <c r="K65" s="83">
        <f t="shared" si="35"/>
        <v>4.7951670757032279E-3</v>
      </c>
      <c r="L65" s="83">
        <f t="shared" si="35"/>
        <v>5.3759311880807927E-3</v>
      </c>
      <c r="M65" s="83">
        <f t="shared" si="35"/>
        <v>4.544586595379034E-3</v>
      </c>
      <c r="N65" s="83">
        <f t="shared" si="35"/>
        <v>4.4841253953637342E-3</v>
      </c>
      <c r="O65" s="83">
        <f t="shared" si="35"/>
        <v>4.1495355565707324E-3</v>
      </c>
      <c r="P65" s="83">
        <f t="shared" si="35"/>
        <v>3.5664979291302346E-3</v>
      </c>
      <c r="Q65" s="83">
        <f t="shared" si="35"/>
        <v>4.4862304768862995E-3</v>
      </c>
      <c r="R65" s="80"/>
      <c r="S65" s="83"/>
      <c r="T65" s="83"/>
      <c r="U65" s="83"/>
      <c r="V65" s="83"/>
      <c r="W65" s="83"/>
      <c r="X65" s="83"/>
      <c r="Y65" s="83"/>
    </row>
    <row r="66" spans="2:25" x14ac:dyDescent="0.25">
      <c r="B66" s="54" t="s">
        <v>515</v>
      </c>
      <c r="C66" s="80">
        <f>Profitability!B66</f>
        <v>444</v>
      </c>
      <c r="D66" s="80">
        <f>Profitability!C66</f>
        <v>318</v>
      </c>
      <c r="E66" s="80">
        <f>Profitability!D66</f>
        <v>2343</v>
      </c>
      <c r="F66" s="80">
        <f>Profitability!E66</f>
        <v>1197</v>
      </c>
      <c r="G66" s="80">
        <f>Profitability!F66</f>
        <v>7008</v>
      </c>
      <c r="H66" s="80">
        <f>Profitability!G66</f>
        <v>0</v>
      </c>
      <c r="I66" s="19">
        <f t="shared" si="40"/>
        <v>11310</v>
      </c>
      <c r="K66" s="83"/>
      <c r="L66" s="83"/>
      <c r="M66" s="83"/>
      <c r="N66" s="83"/>
      <c r="O66" s="83"/>
      <c r="P66" s="83"/>
      <c r="Q66" s="83"/>
      <c r="R66" s="80"/>
      <c r="S66" s="83"/>
      <c r="T66" s="83"/>
      <c r="U66" s="83"/>
      <c r="V66" s="83"/>
      <c r="W66" s="83"/>
      <c r="X66" s="83"/>
      <c r="Y66" s="83"/>
    </row>
    <row r="67" spans="2:25" x14ac:dyDescent="0.25">
      <c r="B67" s="54" t="s">
        <v>516</v>
      </c>
      <c r="C67" s="63">
        <f>Profitability!B67</f>
        <v>469</v>
      </c>
      <c r="D67" s="63">
        <f>Profitability!C67</f>
        <v>1316</v>
      </c>
      <c r="E67" s="63">
        <f>Profitability!D67</f>
        <v>1056</v>
      </c>
      <c r="F67" s="63">
        <f>Profitability!E67</f>
        <v>702</v>
      </c>
      <c r="G67" s="63">
        <f>Profitability!F67</f>
        <v>8928</v>
      </c>
      <c r="H67" s="63">
        <f>Profitability!G67</f>
        <v>49</v>
      </c>
      <c r="I67" s="63">
        <f t="shared" si="40"/>
        <v>12520</v>
      </c>
      <c r="K67" s="83"/>
      <c r="L67" s="83"/>
      <c r="M67" s="83"/>
      <c r="N67" s="83"/>
      <c r="O67" s="83"/>
      <c r="P67" s="83"/>
      <c r="Q67" s="83"/>
      <c r="R67" s="80"/>
      <c r="S67" s="83"/>
      <c r="T67" s="83"/>
      <c r="U67" s="83"/>
      <c r="V67" s="83"/>
      <c r="W67" s="83"/>
      <c r="X67" s="83"/>
      <c r="Y67" s="83"/>
    </row>
    <row r="68" spans="2:25" x14ac:dyDescent="0.25">
      <c r="B68" s="62" t="s">
        <v>121</v>
      </c>
      <c r="C68" s="57">
        <f>SUM(C63:C67)</f>
        <v>4488</v>
      </c>
      <c r="D68" s="57">
        <f t="shared" ref="D68:H68" si="41">SUM(D63:D67)</f>
        <v>5222</v>
      </c>
      <c r="E68" s="57">
        <f t="shared" si="41"/>
        <v>7049</v>
      </c>
      <c r="F68" s="57">
        <f t="shared" si="41"/>
        <v>5077</v>
      </c>
      <c r="G68" s="57">
        <f t="shared" si="41"/>
        <v>19126</v>
      </c>
      <c r="H68" s="57">
        <f t="shared" si="41"/>
        <v>2976</v>
      </c>
      <c r="I68" s="57">
        <f t="shared" si="40"/>
        <v>43938</v>
      </c>
      <c r="K68" s="84">
        <f t="shared" si="35"/>
        <v>0.16945440815555976</v>
      </c>
      <c r="L68" s="84">
        <f t="shared" si="35"/>
        <v>0.20052223331541355</v>
      </c>
      <c r="M68" s="84">
        <f t="shared" si="35"/>
        <v>0.26919992362039336</v>
      </c>
      <c r="N68" s="84">
        <f t="shared" si="35"/>
        <v>0.20326700564519357</v>
      </c>
      <c r="O68" s="84">
        <f t="shared" si="35"/>
        <v>0.72811024821075077</v>
      </c>
      <c r="P68" s="84">
        <f t="shared" si="35"/>
        <v>0.11412793373216751</v>
      </c>
      <c r="Q68" s="84">
        <f t="shared" si="35"/>
        <v>0.28159427813347176</v>
      </c>
      <c r="R68" s="80"/>
      <c r="S68" s="84">
        <f t="shared" si="36"/>
        <v>8.5635370196636043E-2</v>
      </c>
      <c r="T68" s="84">
        <f t="shared" si="37"/>
        <v>0.93617419376710242</v>
      </c>
      <c r="U68" s="84">
        <f t="shared" ref="U68:Y76" si="42">(+C68-D68)/D68</f>
        <v>-0.14055917273075449</v>
      </c>
      <c r="V68" s="84">
        <f t="shared" si="42"/>
        <v>-0.25918570009930486</v>
      </c>
      <c r="W68" s="84">
        <f t="shared" si="42"/>
        <v>0.3884183572976167</v>
      </c>
      <c r="X68" s="84">
        <f t="shared" si="42"/>
        <v>-0.73454982746000208</v>
      </c>
      <c r="Y68" s="84">
        <f t="shared" si="42"/>
        <v>5.426747311827957</v>
      </c>
    </row>
    <row r="69" spans="2:25" x14ac:dyDescent="0.25">
      <c r="B69" s="19" t="s">
        <v>122</v>
      </c>
      <c r="C69" s="80">
        <f>C62-C68</f>
        <v>3634</v>
      </c>
      <c r="D69" s="80">
        <f t="shared" ref="D69:H69" si="43">D62-D68</f>
        <v>3460</v>
      </c>
      <c r="E69" s="80">
        <f t="shared" si="43"/>
        <v>2128</v>
      </c>
      <c r="F69" s="80">
        <f t="shared" si="43"/>
        <v>3070</v>
      </c>
      <c r="G69" s="80">
        <f t="shared" si="43"/>
        <v>-10205</v>
      </c>
      <c r="H69" s="80">
        <f t="shared" si="43"/>
        <v>6057</v>
      </c>
      <c r="I69" s="19">
        <f t="shared" si="40"/>
        <v>8144</v>
      </c>
      <c r="K69" s="83">
        <f t="shared" si="35"/>
        <v>0.13720974136303568</v>
      </c>
      <c r="L69" s="83">
        <f t="shared" si="35"/>
        <v>0.13286229936256816</v>
      </c>
      <c r="M69" s="83">
        <f t="shared" si="35"/>
        <v>8.1267901470307422E-2</v>
      </c>
      <c r="N69" s="83">
        <f t="shared" si="35"/>
        <v>0.12291308003363094</v>
      </c>
      <c r="O69" s="83">
        <f t="shared" si="35"/>
        <v>-0.38849550784224152</v>
      </c>
      <c r="P69" s="83">
        <f t="shared" si="35"/>
        <v>0.23228255867464334</v>
      </c>
      <c r="Q69" s="83">
        <f t="shared" si="35"/>
        <v>5.2194087148231462E-2</v>
      </c>
      <c r="R69" s="80"/>
      <c r="S69" s="83">
        <f t="shared" si="36"/>
        <v>-9.7129486369166726E-2</v>
      </c>
      <c r="T69" s="83">
        <f t="shared" si="37"/>
        <v>-0.72325438425943411</v>
      </c>
      <c r="U69" s="83">
        <f t="shared" si="42"/>
        <v>5.0289017341040465E-2</v>
      </c>
      <c r="V69" s="83">
        <f t="shared" si="42"/>
        <v>0.62593984962406013</v>
      </c>
      <c r="W69" s="83">
        <f t="shared" si="42"/>
        <v>-0.30684039087947884</v>
      </c>
      <c r="X69" s="83">
        <f t="shared" si="42"/>
        <v>-1.3008329250367467</v>
      </c>
      <c r="Y69" s="83">
        <f t="shared" si="42"/>
        <v>-2.6848274723460457</v>
      </c>
    </row>
    <row r="70" spans="2:25" x14ac:dyDescent="0.25">
      <c r="B70" s="54" t="s">
        <v>123</v>
      </c>
      <c r="C70" s="19">
        <f>Profitability!B70</f>
        <v>921</v>
      </c>
      <c r="D70" s="19">
        <f>Profitability!C70</f>
        <v>2047</v>
      </c>
      <c r="E70" s="19">
        <f>Profitability!D70</f>
        <v>1394</v>
      </c>
      <c r="F70" s="19">
        <f>Profitability!E70</f>
        <v>1361</v>
      </c>
      <c r="G70" s="19">
        <f>Profitability!F70</f>
        <v>1284</v>
      </c>
      <c r="H70" s="19">
        <f>Profitability!G70</f>
        <v>1234</v>
      </c>
      <c r="I70" s="19">
        <f t="shared" si="40"/>
        <v>8241</v>
      </c>
      <c r="K70" s="83">
        <f t="shared" si="35"/>
        <v>3.4774400604115539E-2</v>
      </c>
      <c r="L70" s="83">
        <f t="shared" si="35"/>
        <v>7.860379387143844E-2</v>
      </c>
      <c r="M70" s="83">
        <f t="shared" si="35"/>
        <v>5.3236585831582965E-2</v>
      </c>
      <c r="N70" s="83">
        <f t="shared" si="35"/>
        <v>5.4490130920446814E-2</v>
      </c>
      <c r="O70" s="83">
        <f t="shared" si="35"/>
        <v>4.8880767473732295E-2</v>
      </c>
      <c r="P70" s="83">
        <f t="shared" si="35"/>
        <v>4.7323209081147413E-2</v>
      </c>
      <c r="Q70" s="83">
        <f t="shared" si="35"/>
        <v>5.281575051431428E-2</v>
      </c>
      <c r="R70" s="80"/>
      <c r="S70" s="83">
        <f t="shared" si="36"/>
        <v>-5.6832354866180976E-2</v>
      </c>
      <c r="T70" s="83">
        <f t="shared" si="37"/>
        <v>8.6194480407803427E-3</v>
      </c>
      <c r="U70" s="83">
        <f t="shared" si="42"/>
        <v>-0.55007327796775773</v>
      </c>
      <c r="V70" s="83">
        <f t="shared" si="42"/>
        <v>0.4684361549497848</v>
      </c>
      <c r="W70" s="83">
        <f t="shared" si="42"/>
        <v>2.4246877296105803E-2</v>
      </c>
      <c r="X70" s="83">
        <f t="shared" si="42"/>
        <v>5.9968847352024922E-2</v>
      </c>
      <c r="Y70" s="83">
        <f t="shared" si="42"/>
        <v>4.0518638573743923E-2</v>
      </c>
    </row>
    <row r="71" spans="2:25" x14ac:dyDescent="0.25">
      <c r="B71" s="54" t="s">
        <v>124</v>
      </c>
      <c r="C71" s="63">
        <f>Profitability!B71</f>
        <v>-253</v>
      </c>
      <c r="D71" s="63">
        <f>Profitability!C71</f>
        <v>-295</v>
      </c>
      <c r="E71" s="63">
        <f>Profitability!D71</f>
        <v>-296</v>
      </c>
      <c r="F71" s="63">
        <f>Profitability!E71</f>
        <v>-952</v>
      </c>
      <c r="G71" s="63">
        <f>Profitability!F71</f>
        <v>-168</v>
      </c>
      <c r="H71" s="63">
        <f>Profitability!G71</f>
        <v>-627</v>
      </c>
      <c r="I71" s="19">
        <f t="shared" si="40"/>
        <v>-2591</v>
      </c>
      <c r="K71" s="84">
        <f t="shared" si="35"/>
        <v>-9.5525769303379266E-3</v>
      </c>
      <c r="L71" s="84">
        <f t="shared" si="35"/>
        <v>-1.1327855003455956E-2</v>
      </c>
      <c r="M71" s="84">
        <f t="shared" si="35"/>
        <v>-1.1304181783463815E-2</v>
      </c>
      <c r="N71" s="84">
        <f t="shared" si="35"/>
        <v>-3.8115065860591747E-2</v>
      </c>
      <c r="O71" s="84">
        <f t="shared" si="35"/>
        <v>-6.395614435815441E-3</v>
      </c>
      <c r="P71" s="84">
        <f t="shared" si="35"/>
        <v>-2.4045098941555453E-2</v>
      </c>
      <c r="Q71" s="84">
        <f t="shared" si="35"/>
        <v>-1.6605461665160574E-2</v>
      </c>
      <c r="R71" s="80"/>
      <c r="S71" s="84">
        <f t="shared" si="36"/>
        <v>-0.16599127110650957</v>
      </c>
      <c r="T71" s="84">
        <f t="shared" si="37"/>
        <v>0.61995647208246263</v>
      </c>
      <c r="U71" s="84">
        <f t="shared" si="42"/>
        <v>-0.14237288135593221</v>
      </c>
      <c r="V71" s="84">
        <f t="shared" si="42"/>
        <v>-3.3783783783783786E-3</v>
      </c>
      <c r="W71" s="84">
        <f t="shared" si="42"/>
        <v>-0.68907563025210083</v>
      </c>
      <c r="X71" s="84">
        <f t="shared" si="42"/>
        <v>4.666666666666667</v>
      </c>
      <c r="Y71" s="84">
        <f t="shared" si="42"/>
        <v>-0.73205741626794263</v>
      </c>
    </row>
    <row r="72" spans="2:25" x14ac:dyDescent="0.25">
      <c r="B72" s="19" t="s">
        <v>125</v>
      </c>
      <c r="C72" s="19">
        <f>C69-C70-C71</f>
        <v>2966</v>
      </c>
      <c r="D72" s="19">
        <f t="shared" ref="D72:H72" si="44">D69-D70-D71</f>
        <v>1708</v>
      </c>
      <c r="E72" s="19">
        <f t="shared" si="44"/>
        <v>1030</v>
      </c>
      <c r="F72" s="19">
        <f t="shared" si="44"/>
        <v>2661</v>
      </c>
      <c r="G72" s="19">
        <f t="shared" si="44"/>
        <v>-11321</v>
      </c>
      <c r="H72" s="19">
        <f t="shared" si="44"/>
        <v>5450</v>
      </c>
      <c r="I72" s="57">
        <f t="shared" si="40"/>
        <v>2494</v>
      </c>
      <c r="K72" s="83">
        <f t="shared" si="35"/>
        <v>0.11198791768925807</v>
      </c>
      <c r="L72" s="83">
        <f t="shared" si="35"/>
        <v>6.5586360494585674E-2</v>
      </c>
      <c r="M72" s="83">
        <f t="shared" si="35"/>
        <v>3.9335497422188274E-2</v>
      </c>
      <c r="N72" s="83">
        <f t="shared" si="35"/>
        <v>0.10653801497377588</v>
      </c>
      <c r="O72" s="83">
        <f t="shared" si="35"/>
        <v>-0.43098066088015835</v>
      </c>
      <c r="P72" s="83">
        <f t="shared" si="35"/>
        <v>0.2090044485350514</v>
      </c>
      <c r="Q72" s="83">
        <f t="shared" si="35"/>
        <v>1.598379829907776E-2</v>
      </c>
      <c r="R72" s="80"/>
      <c r="S72" s="83">
        <f t="shared" si="36"/>
        <v>-0.11456858041064177</v>
      </c>
      <c r="T72" s="83">
        <f t="shared" si="37"/>
        <v>-0.7060877399039478</v>
      </c>
      <c r="U72" s="83">
        <f t="shared" si="42"/>
        <v>0.7365339578454333</v>
      </c>
      <c r="V72" s="83">
        <f t="shared" si="42"/>
        <v>0.65825242718446597</v>
      </c>
      <c r="W72" s="83">
        <f t="shared" si="42"/>
        <v>-0.61292747087561072</v>
      </c>
      <c r="X72" s="83">
        <f t="shared" si="42"/>
        <v>-1.2350499072520096</v>
      </c>
      <c r="Y72" s="83">
        <f t="shared" si="42"/>
        <v>-3.0772477064220185</v>
      </c>
    </row>
    <row r="73" spans="2:25" x14ac:dyDescent="0.25">
      <c r="B73" s="54" t="s">
        <v>126</v>
      </c>
      <c r="C73" s="63">
        <f>Profitability!B73</f>
        <v>598</v>
      </c>
      <c r="D73" s="63">
        <f>Profitability!C73</f>
        <v>684</v>
      </c>
      <c r="E73" s="63">
        <f>Profitability!D73</f>
        <v>669</v>
      </c>
      <c r="F73" s="63">
        <f>Profitability!E73</f>
        <v>728</v>
      </c>
      <c r="G73" s="63">
        <f>Profitability!F73</f>
        <v>-1067</v>
      </c>
      <c r="H73" s="63">
        <f>Profitability!G73</f>
        <v>-5482</v>
      </c>
      <c r="I73" s="19">
        <f t="shared" si="40"/>
        <v>-3870</v>
      </c>
      <c r="K73" s="84">
        <f t="shared" si="35"/>
        <v>2.2578818198980555E-2</v>
      </c>
      <c r="L73" s="84">
        <f t="shared" si="35"/>
        <v>2.6265263804623303E-2</v>
      </c>
      <c r="M73" s="84">
        <f t="shared" si="35"/>
        <v>2.5548978422761121E-2</v>
      </c>
      <c r="N73" s="84">
        <f t="shared" si="35"/>
        <v>2.9146815069864274E-2</v>
      </c>
      <c r="O73" s="84">
        <f t="shared" si="35"/>
        <v>-4.0619765494137351E-2</v>
      </c>
      <c r="P73" s="84">
        <f t="shared" si="35"/>
        <v>-0.21023163061819297</v>
      </c>
      <c r="Q73" s="84">
        <f t="shared" si="35"/>
        <v>-2.480244563649997E-2</v>
      </c>
      <c r="R73" s="80"/>
      <c r="S73" s="84">
        <f>RATE(5,0,H73,C73)</f>
        <v>-0.35797427408867821</v>
      </c>
      <c r="T73" s="84">
        <f t="shared" si="37"/>
        <v>-0.53440064342280214</v>
      </c>
      <c r="U73" s="84">
        <f t="shared" si="42"/>
        <v>-0.12573099415204678</v>
      </c>
      <c r="V73" s="84">
        <f t="shared" si="42"/>
        <v>2.2421524663677129E-2</v>
      </c>
      <c r="W73" s="84">
        <f t="shared" si="42"/>
        <v>-8.1043956043956047E-2</v>
      </c>
      <c r="X73" s="84">
        <f t="shared" si="42"/>
        <v>-1.6822867853795689</v>
      </c>
      <c r="Y73" s="84">
        <f t="shared" si="42"/>
        <v>-0.80536300620211598</v>
      </c>
    </row>
    <row r="74" spans="2:25" x14ac:dyDescent="0.25">
      <c r="B74" s="19" t="s">
        <v>127</v>
      </c>
      <c r="C74" s="19">
        <f>C72-C73</f>
        <v>2368</v>
      </c>
      <c r="D74" s="19">
        <f t="shared" ref="D74:H74" si="45">D72-D73</f>
        <v>1024</v>
      </c>
      <c r="E74" s="19">
        <f t="shared" si="45"/>
        <v>361</v>
      </c>
      <c r="F74" s="19">
        <f t="shared" si="45"/>
        <v>1933</v>
      </c>
      <c r="G74" s="19">
        <f t="shared" si="45"/>
        <v>-10254</v>
      </c>
      <c r="H74" s="19">
        <f t="shared" si="45"/>
        <v>10932</v>
      </c>
      <c r="I74" s="57">
        <f t="shared" si="40"/>
        <v>6364</v>
      </c>
      <c r="K74" s="83">
        <f t="shared" si="35"/>
        <v>8.9409099490277519E-2</v>
      </c>
      <c r="L74" s="83">
        <f t="shared" si="35"/>
        <v>3.9321096689962372E-2</v>
      </c>
      <c r="M74" s="83">
        <f t="shared" si="35"/>
        <v>1.3786518999427153E-2</v>
      </c>
      <c r="N74" s="83">
        <f t="shared" si="35"/>
        <v>7.7391199903911592E-2</v>
      </c>
      <c r="O74" s="83">
        <f t="shared" si="35"/>
        <v>-0.39036089538602103</v>
      </c>
      <c r="P74" s="83">
        <f t="shared" si="35"/>
        <v>0.41923607915324435</v>
      </c>
      <c r="Q74" s="83">
        <f t="shared" si="35"/>
        <v>4.0786243935577733E-2</v>
      </c>
      <c r="R74" s="80"/>
      <c r="S74" s="83">
        <f t="shared" si="36"/>
        <v>-0.26356161826246205</v>
      </c>
      <c r="T74" s="83">
        <f t="shared" si="37"/>
        <v>-0.15813412150269723</v>
      </c>
      <c r="U74" s="83">
        <f t="shared" si="42"/>
        <v>1.3125</v>
      </c>
      <c r="V74" s="83">
        <f t="shared" si="42"/>
        <v>1.8365650969529086</v>
      </c>
      <c r="W74" s="83">
        <f t="shared" si="42"/>
        <v>-0.81324366270046555</v>
      </c>
      <c r="X74" s="83">
        <f t="shared" si="42"/>
        <v>-1.1885118002730641</v>
      </c>
      <c r="Y74" s="83">
        <f t="shared" si="42"/>
        <v>-1.9379802414928651</v>
      </c>
    </row>
    <row r="75" spans="2:25" x14ac:dyDescent="0.25">
      <c r="B75" s="54" t="s">
        <v>105</v>
      </c>
      <c r="C75" s="63">
        <f>Profitability!B75</f>
        <v>5</v>
      </c>
      <c r="D75" s="63">
        <f>Profitability!C75</f>
        <v>12</v>
      </c>
      <c r="E75" s="63">
        <f>Profitability!D75</f>
        <v>5</v>
      </c>
      <c r="F75" s="63">
        <f>Profitability!E75</f>
        <v>-2</v>
      </c>
      <c r="G75" s="63">
        <f>Profitability!F75</f>
        <v>-62</v>
      </c>
      <c r="H75" s="63">
        <f>Profitability!G75</f>
        <v>-9</v>
      </c>
      <c r="I75" s="19">
        <f t="shared" si="40"/>
        <v>-51</v>
      </c>
      <c r="K75" s="83">
        <f t="shared" si="35"/>
        <v>1.8878610534264677E-4</v>
      </c>
      <c r="L75" s="83">
        <f t="shared" si="35"/>
        <v>4.6079410183549652E-4</v>
      </c>
      <c r="M75" s="83">
        <f t="shared" si="35"/>
        <v>1.9094901661256445E-4</v>
      </c>
      <c r="N75" s="83">
        <f t="shared" si="35"/>
        <v>-8.0073667774352406E-5</v>
      </c>
      <c r="O75" s="83">
        <f t="shared" si="35"/>
        <v>-2.3602862798842699E-3</v>
      </c>
      <c r="P75" s="83">
        <f t="shared" si="35"/>
        <v>-3.4514496088357109E-4</v>
      </c>
      <c r="Q75" s="83">
        <f t="shared" si="35"/>
        <v>-3.2685393474457324E-4</v>
      </c>
      <c r="R75" s="80"/>
      <c r="S75" s="83">
        <f>RATE(5,0,H75,C75)</f>
        <v>-0.11091046386779865</v>
      </c>
      <c r="T75" s="83">
        <f t="shared" si="37"/>
        <v>0.44756272401433694</v>
      </c>
      <c r="U75" s="83">
        <f t="shared" si="42"/>
        <v>-0.58333333333333337</v>
      </c>
      <c r="V75" s="83">
        <f t="shared" si="42"/>
        <v>1.4</v>
      </c>
      <c r="W75" s="83">
        <f t="shared" si="42"/>
        <v>-3.5</v>
      </c>
      <c r="X75" s="83">
        <f t="shared" si="42"/>
        <v>-0.967741935483871</v>
      </c>
      <c r="Y75" s="83">
        <f t="shared" si="42"/>
        <v>5.8888888888888893</v>
      </c>
    </row>
    <row r="76" spans="2:25" ht="15.75" thickBot="1" x14ac:dyDescent="0.3">
      <c r="B76" s="19" t="s">
        <v>512</v>
      </c>
      <c r="C76" s="19">
        <f>C74-C75</f>
        <v>2363</v>
      </c>
      <c r="D76" s="19">
        <f t="shared" ref="D76:H76" si="46">D74-D75</f>
        <v>1012</v>
      </c>
      <c r="E76" s="19">
        <f t="shared" si="46"/>
        <v>356</v>
      </c>
      <c r="F76" s="19">
        <f t="shared" si="46"/>
        <v>1935</v>
      </c>
      <c r="G76" s="19">
        <f t="shared" si="46"/>
        <v>-10192</v>
      </c>
      <c r="H76" s="19">
        <f t="shared" si="46"/>
        <v>10941</v>
      </c>
      <c r="I76" s="57">
        <f t="shared" si="40"/>
        <v>6415</v>
      </c>
      <c r="J76" s="110"/>
      <c r="K76" s="86">
        <f t="shared" ref="K76:Q76" si="47">+C76/C$60</f>
        <v>8.9220313384934871E-2</v>
      </c>
      <c r="L76" s="86">
        <f t="shared" si="47"/>
        <v>3.8860302588126873E-2</v>
      </c>
      <c r="M76" s="86">
        <f t="shared" si="47"/>
        <v>1.3595569982814588E-2</v>
      </c>
      <c r="N76" s="86">
        <f t="shared" si="47"/>
        <v>7.7471273571685956E-2</v>
      </c>
      <c r="O76" s="86">
        <f t="shared" si="47"/>
        <v>-0.38800060910613676</v>
      </c>
      <c r="P76" s="86">
        <f t="shared" si="47"/>
        <v>0.41958122411412796</v>
      </c>
      <c r="Q76" s="86">
        <f t="shared" si="47"/>
        <v>4.1113097870322302E-2</v>
      </c>
      <c r="R76" s="80"/>
      <c r="S76" s="86">
        <f t="shared" si="36"/>
        <v>-0.26399402380581244</v>
      </c>
      <c r="T76" s="86">
        <f t="shared" si="37"/>
        <v>-0.15194810002519135</v>
      </c>
      <c r="U76" s="86">
        <f t="shared" si="42"/>
        <v>1.3349802371541502</v>
      </c>
      <c r="V76" s="86">
        <f t="shared" si="42"/>
        <v>1.8426966292134832</v>
      </c>
      <c r="W76" s="86">
        <f t="shared" si="42"/>
        <v>-0.81602067183462534</v>
      </c>
      <c r="X76" s="86">
        <f t="shared" si="42"/>
        <v>-1.1898547880690737</v>
      </c>
      <c r="Y76" s="86">
        <f t="shared" si="42"/>
        <v>-1.9315419065898913</v>
      </c>
    </row>
    <row r="77" spans="2:25" ht="15.75" thickTop="1" x14ac:dyDescent="0.25">
      <c r="B77" s="19" t="s">
        <v>513</v>
      </c>
      <c r="C77" s="63">
        <f t="shared" ref="C77:H77" si="48">C488</f>
        <v>467.31603773584902</v>
      </c>
      <c r="D77" s="63">
        <f t="shared" si="48"/>
        <v>892.25</v>
      </c>
      <c r="E77" s="63">
        <f t="shared" si="48"/>
        <v>3066.5</v>
      </c>
      <c r="F77" s="63">
        <f t="shared" si="48"/>
        <v>1244</v>
      </c>
      <c r="G77" s="63">
        <f t="shared" si="48"/>
        <v>14119.5</v>
      </c>
      <c r="H77" s="63">
        <f t="shared" si="48"/>
        <v>-6247.5</v>
      </c>
      <c r="I77" s="63">
        <f t="shared" si="40"/>
        <v>13542.066037735851</v>
      </c>
      <c r="J77" s="110"/>
      <c r="K77" s="83"/>
      <c r="L77" s="83"/>
      <c r="M77" s="83"/>
      <c r="N77" s="83"/>
      <c r="O77" s="83"/>
      <c r="P77" s="83"/>
      <c r="Q77" s="83"/>
      <c r="R77" s="80"/>
      <c r="S77" s="83">
        <f>RATE(5,0,-I77,+C77)</f>
        <v>-0.48998241358205979</v>
      </c>
      <c r="T77" s="83">
        <f>AVERAGE(U77:Y77)</f>
        <v>-0.77843394793510567</v>
      </c>
      <c r="U77" s="83">
        <f>(C77-D77)/D77</f>
        <v>-0.47624988765945753</v>
      </c>
      <c r="V77" s="83">
        <f t="shared" ref="V77:Y77" si="49">(D77-E77)/E77</f>
        <v>-0.70903309962497962</v>
      </c>
      <c r="W77" s="83">
        <f t="shared" si="49"/>
        <v>1.465032154340836</v>
      </c>
      <c r="X77" s="83">
        <f t="shared" si="49"/>
        <v>-0.91189489712808525</v>
      </c>
      <c r="Y77" s="83">
        <f t="shared" si="49"/>
        <v>-3.2600240096038418</v>
      </c>
    </row>
    <row r="78" spans="2:25" ht="15.75" thickBot="1" x14ac:dyDescent="0.3">
      <c r="B78" s="19" t="s">
        <v>514</v>
      </c>
      <c r="C78" s="74">
        <f>C76+C77</f>
        <v>2830.316037735849</v>
      </c>
      <c r="D78" s="74">
        <f t="shared" ref="D78:H78" si="50">D76+D77</f>
        <v>1904.25</v>
      </c>
      <c r="E78" s="74">
        <f t="shared" si="50"/>
        <v>3422.5</v>
      </c>
      <c r="F78" s="74">
        <f t="shared" si="50"/>
        <v>3179</v>
      </c>
      <c r="G78" s="74">
        <f t="shared" si="50"/>
        <v>3927.5</v>
      </c>
      <c r="H78" s="74">
        <f t="shared" si="50"/>
        <v>4693.5</v>
      </c>
      <c r="I78" s="74">
        <f t="shared" si="40"/>
        <v>19957.066037735851</v>
      </c>
      <c r="J78" s="110"/>
      <c r="S78" s="83">
        <f>RATE(5,0,-I78,+C78)</f>
        <v>-0.32337561155029648</v>
      </c>
      <c r="T78" s="83">
        <f>AVERAGE(U78:Y78)</f>
        <v>-4.6896074570438886E-2</v>
      </c>
      <c r="U78" s="83">
        <f>(C78-D78)/D78</f>
        <v>0.48631536706621981</v>
      </c>
      <c r="V78" s="83">
        <f t="shared" ref="V78" si="51">(D78-E78)/E78</f>
        <v>-0.44360847333820308</v>
      </c>
      <c r="W78" s="83">
        <f t="shared" ref="W78" si="52">(E78-F78)/F78</f>
        <v>7.6596413966656188E-2</v>
      </c>
      <c r="X78" s="83">
        <f t="shared" ref="X78" si="53">(F78-G78)/G78</f>
        <v>-0.19057924888605984</v>
      </c>
      <c r="Y78" s="83">
        <f t="shared" ref="Y78" si="54">(G78-H78)/H78</f>
        <v>-0.1632044316608075</v>
      </c>
    </row>
    <row r="79" spans="2:25" ht="15.75" thickTop="1" x14ac:dyDescent="0.25"/>
    <row r="80" spans="2:25" x14ac:dyDescent="0.25">
      <c r="B80" s="19" t="s">
        <v>131</v>
      </c>
      <c r="C80" s="19">
        <v>1235</v>
      </c>
      <c r="D80" s="19">
        <v>1236</v>
      </c>
      <c r="E80" s="19">
        <v>1228</v>
      </c>
      <c r="F80" s="19">
        <v>1224</v>
      </c>
      <c r="G80" s="19">
        <v>1219</v>
      </c>
      <c r="H80" s="19">
        <v>1228</v>
      </c>
    </row>
    <row r="81" spans="2:25" x14ac:dyDescent="0.25">
      <c r="B81" s="19" t="s">
        <v>132</v>
      </c>
      <c r="C81" s="24">
        <f t="shared" ref="C81:H81" si="55">+C78/C80</f>
        <v>2.2917538767091896</v>
      </c>
      <c r="D81" s="24">
        <f t="shared" si="55"/>
        <v>1.5406553398058251</v>
      </c>
      <c r="E81" s="24">
        <f t="shared" si="55"/>
        <v>2.7870521172638436</v>
      </c>
      <c r="F81" s="24">
        <f t="shared" si="55"/>
        <v>2.5972222222222223</v>
      </c>
      <c r="G81" s="24">
        <f t="shared" si="55"/>
        <v>3.2219031993437244</v>
      </c>
      <c r="H81" s="24">
        <f t="shared" si="55"/>
        <v>3.8220684039087947</v>
      </c>
      <c r="I81" s="24"/>
    </row>
    <row r="82" spans="2:25" x14ac:dyDescent="0.25">
      <c r="B82" s="19" t="s">
        <v>133</v>
      </c>
      <c r="C82" s="24">
        <v>1.6</v>
      </c>
      <c r="D82" s="24">
        <v>1.6</v>
      </c>
      <c r="E82" s="24">
        <v>1.6</v>
      </c>
      <c r="F82" s="24">
        <v>1.6</v>
      </c>
      <c r="G82" s="24">
        <v>2.5</v>
      </c>
      <c r="H82" s="24">
        <v>2.4500000000000002</v>
      </c>
      <c r="I82" s="24"/>
      <c r="K82" s="83"/>
      <c r="L82" s="83"/>
      <c r="M82" s="83"/>
      <c r="N82" s="83"/>
      <c r="O82" s="83"/>
      <c r="P82" s="83"/>
      <c r="Q82" s="83"/>
      <c r="S82" s="83">
        <f>RATE(5,0,-H80,C80)</f>
        <v>1.1374745049678259E-3</v>
      </c>
      <c r="T82" s="83">
        <f>AVERAGE(U82:Y82)</f>
        <v>1.1492605687045796E-3</v>
      </c>
      <c r="U82" s="83">
        <f t="shared" ref="U82:Y84" si="56">(+C80-D80)/D80</f>
        <v>-8.090614886731392E-4</v>
      </c>
      <c r="V82" s="83">
        <f t="shared" si="56"/>
        <v>6.5146579804560263E-3</v>
      </c>
      <c r="W82" s="83">
        <f t="shared" si="56"/>
        <v>3.2679738562091504E-3</v>
      </c>
      <c r="X82" s="83">
        <f t="shared" si="56"/>
        <v>4.1017227235438884E-3</v>
      </c>
      <c r="Y82" s="83">
        <f t="shared" si="56"/>
        <v>-7.3289902280130291E-3</v>
      </c>
    </row>
    <row r="83" spans="2:25" x14ac:dyDescent="0.25">
      <c r="C83" s="24"/>
      <c r="D83" s="24"/>
      <c r="E83" s="24"/>
      <c r="F83" s="24"/>
      <c r="G83" s="24"/>
      <c r="H83" s="24"/>
      <c r="I83" s="24"/>
      <c r="K83" s="83"/>
      <c r="L83" s="83"/>
      <c r="M83" s="83"/>
      <c r="N83" s="83"/>
      <c r="O83" s="83"/>
      <c r="P83" s="83"/>
      <c r="Q83" s="83"/>
      <c r="S83" s="83">
        <f>RATE(5,0,-H81,C81)</f>
        <v>-9.7236682442660857E-2</v>
      </c>
      <c r="T83" s="83">
        <f>AVERAGE(U83:Y83)</f>
        <v>-4.7502651638707448E-2</v>
      </c>
      <c r="U83" s="83">
        <f t="shared" si="56"/>
        <v>0.4875188612905651</v>
      </c>
      <c r="V83" s="83">
        <f t="shared" si="56"/>
        <v>-0.44720971299297202</v>
      </c>
      <c r="W83" s="83">
        <f t="shared" si="56"/>
        <v>7.308958525666702E-2</v>
      </c>
      <c r="X83" s="83">
        <f t="shared" si="56"/>
        <v>-0.19388570620270171</v>
      </c>
      <c r="Y83" s="83">
        <f t="shared" si="56"/>
        <v>-0.15702628554509562</v>
      </c>
    </row>
    <row r="84" spans="2:25" x14ac:dyDescent="0.25">
      <c r="B84" s="19" t="s">
        <v>286</v>
      </c>
      <c r="C84" s="83">
        <f t="shared" ref="C84:H84" si="57">+C73/C72</f>
        <v>0.20161834120026972</v>
      </c>
      <c r="D84" s="83">
        <f t="shared" si="57"/>
        <v>0.40046838407494145</v>
      </c>
      <c r="E84" s="83">
        <f t="shared" si="57"/>
        <v>0.64951456310679612</v>
      </c>
      <c r="F84" s="83">
        <f t="shared" si="57"/>
        <v>0.27358136039083053</v>
      </c>
      <c r="G84" s="83">
        <f t="shared" si="57"/>
        <v>9.4249624591467185E-2</v>
      </c>
      <c r="H84" s="83">
        <f t="shared" si="57"/>
        <v>-1.0058715596330274</v>
      </c>
      <c r="I84" s="83"/>
      <c r="K84" s="83"/>
      <c r="L84" s="83"/>
      <c r="M84" s="83"/>
      <c r="N84" s="83"/>
      <c r="O84" s="83"/>
      <c r="P84" s="83"/>
      <c r="Q84" s="83"/>
      <c r="S84" s="83">
        <f>RATE(5,0,-H82,C82)</f>
        <v>-8.1686900081131844E-2</v>
      </c>
      <c r="T84" s="83">
        <f>AVERAGE(U84:Y84)</f>
        <v>-6.7918367346938791E-2</v>
      </c>
      <c r="U84" s="83">
        <f t="shared" si="56"/>
        <v>0</v>
      </c>
      <c r="V84" s="83">
        <f t="shared" si="56"/>
        <v>0</v>
      </c>
      <c r="W84" s="83">
        <f t="shared" si="56"/>
        <v>0</v>
      </c>
      <c r="X84" s="83">
        <f t="shared" si="56"/>
        <v>-0.36</v>
      </c>
      <c r="Y84" s="83">
        <f t="shared" si="56"/>
        <v>2.0408163265306048E-2</v>
      </c>
    </row>
    <row r="85" spans="2:25" x14ac:dyDescent="0.25">
      <c r="K85" s="83"/>
      <c r="L85" s="83"/>
      <c r="M85" s="83"/>
      <c r="N85" s="83"/>
      <c r="O85" s="83"/>
      <c r="P85" s="83"/>
      <c r="Q85" s="83"/>
      <c r="S85" s="83"/>
      <c r="T85" s="83"/>
      <c r="U85" s="83"/>
      <c r="V85" s="83"/>
      <c r="W85" s="83"/>
      <c r="X85" s="83"/>
      <c r="Y85" s="83"/>
    </row>
    <row r="86" spans="2:25" x14ac:dyDescent="0.25">
      <c r="B86" s="53" t="s">
        <v>287</v>
      </c>
      <c r="K86" s="83"/>
      <c r="L86" s="83"/>
      <c r="M86" s="83"/>
      <c r="N86" s="83"/>
      <c r="O86" s="83"/>
      <c r="P86" s="83"/>
      <c r="Q86" s="83"/>
      <c r="S86" s="83"/>
      <c r="T86" s="83"/>
      <c r="U86" s="83"/>
      <c r="V86" s="83"/>
      <c r="W86" s="83"/>
      <c r="X86" s="83"/>
      <c r="Y86" s="83"/>
    </row>
    <row r="87" spans="2:25" x14ac:dyDescent="0.25">
      <c r="B87" s="19" t="s">
        <v>217</v>
      </c>
      <c r="C87" s="19">
        <f>C78</f>
        <v>2830.316037735849</v>
      </c>
      <c r="D87" s="19">
        <f t="shared" ref="D87:H87" si="58">D78</f>
        <v>1904.25</v>
      </c>
      <c r="E87" s="19">
        <f t="shared" si="58"/>
        <v>3422.5</v>
      </c>
      <c r="F87" s="19">
        <f t="shared" si="58"/>
        <v>3179</v>
      </c>
      <c r="G87" s="19">
        <f t="shared" si="58"/>
        <v>3927.5</v>
      </c>
      <c r="H87" s="19">
        <f t="shared" si="58"/>
        <v>4693.5</v>
      </c>
      <c r="K87" s="83"/>
      <c r="L87" s="83"/>
      <c r="M87" s="83"/>
      <c r="N87" s="83"/>
      <c r="O87" s="83"/>
      <c r="P87" s="83"/>
      <c r="Q87" s="83"/>
      <c r="S87" s="83"/>
      <c r="T87" s="83"/>
      <c r="U87" s="83"/>
      <c r="V87" s="83"/>
      <c r="W87" s="83"/>
      <c r="X87" s="83"/>
      <c r="Y87" s="83"/>
    </row>
    <row r="88" spans="2:25" x14ac:dyDescent="0.25">
      <c r="B88" s="54" t="s">
        <v>288</v>
      </c>
      <c r="C88" s="19">
        <f>C73</f>
        <v>598</v>
      </c>
      <c r="D88" s="19">
        <f t="shared" ref="D88:H88" si="59">D73</f>
        <v>684</v>
      </c>
      <c r="E88" s="19">
        <f t="shared" si="59"/>
        <v>669</v>
      </c>
      <c r="F88" s="19">
        <f t="shared" si="59"/>
        <v>728</v>
      </c>
      <c r="G88" s="19">
        <f t="shared" si="59"/>
        <v>-1067</v>
      </c>
      <c r="H88" s="19">
        <f t="shared" si="59"/>
        <v>-5482</v>
      </c>
      <c r="K88" s="83"/>
      <c r="L88" s="83"/>
      <c r="M88" s="83"/>
      <c r="N88" s="83"/>
      <c r="O88" s="83"/>
      <c r="P88" s="83"/>
      <c r="Q88" s="83"/>
      <c r="S88" s="83"/>
      <c r="T88" s="83"/>
      <c r="U88" s="83"/>
      <c r="V88" s="83"/>
      <c r="W88" s="83"/>
      <c r="X88" s="83"/>
      <c r="Y88" s="83"/>
    </row>
    <row r="89" spans="2:25" x14ac:dyDescent="0.25">
      <c r="B89" s="54" t="s">
        <v>289</v>
      </c>
      <c r="C89" s="63">
        <f>C70</f>
        <v>921</v>
      </c>
      <c r="D89" s="63">
        <f t="shared" ref="D89:H89" si="60">D70</f>
        <v>2047</v>
      </c>
      <c r="E89" s="63">
        <f t="shared" si="60"/>
        <v>1394</v>
      </c>
      <c r="F89" s="63">
        <f t="shared" si="60"/>
        <v>1361</v>
      </c>
      <c r="G89" s="63">
        <f t="shared" si="60"/>
        <v>1284</v>
      </c>
      <c r="H89" s="63">
        <f t="shared" si="60"/>
        <v>1234</v>
      </c>
      <c r="K89" s="83"/>
      <c r="L89" s="83"/>
      <c r="M89" s="83"/>
      <c r="N89" s="83"/>
      <c r="O89" s="83"/>
      <c r="P89" s="83"/>
      <c r="Q89" s="83"/>
      <c r="S89" s="83"/>
      <c r="T89" s="83"/>
      <c r="U89" s="83"/>
      <c r="V89" s="83"/>
      <c r="W89" s="83"/>
      <c r="X89" s="83"/>
      <c r="Y89" s="83"/>
    </row>
    <row r="90" spans="2:25" x14ac:dyDescent="0.25">
      <c r="B90" s="19" t="s">
        <v>247</v>
      </c>
      <c r="C90" s="19">
        <f>SUM(C87:C89)</f>
        <v>4349.316037735849</v>
      </c>
      <c r="D90" s="19">
        <f t="shared" ref="D90:H90" si="61">SUM(D87:D89)</f>
        <v>4635.25</v>
      </c>
      <c r="E90" s="19">
        <f t="shared" si="61"/>
        <v>5485.5</v>
      </c>
      <c r="F90" s="19">
        <f t="shared" si="61"/>
        <v>5268</v>
      </c>
      <c r="G90" s="19">
        <f t="shared" si="61"/>
        <v>4144.5</v>
      </c>
      <c r="H90" s="19">
        <f t="shared" si="61"/>
        <v>445.5</v>
      </c>
      <c r="K90" s="83"/>
      <c r="L90" s="83"/>
      <c r="M90" s="83"/>
      <c r="N90" s="83"/>
      <c r="O90" s="83"/>
      <c r="P90" s="83"/>
      <c r="Q90" s="83"/>
      <c r="S90" s="83"/>
      <c r="T90" s="83"/>
      <c r="U90" s="83"/>
      <c r="V90" s="83"/>
      <c r="W90" s="83"/>
      <c r="X90" s="83"/>
      <c r="Y90" s="83"/>
    </row>
    <row r="91" spans="2:25" x14ac:dyDescent="0.25">
      <c r="B91" s="54" t="s">
        <v>290</v>
      </c>
      <c r="C91" s="63">
        <f>C104</f>
        <v>933</v>
      </c>
      <c r="D91" s="63">
        <f t="shared" ref="D91:H91" si="62">D104</f>
        <v>910</v>
      </c>
      <c r="E91" s="63">
        <f t="shared" si="62"/>
        <v>969</v>
      </c>
      <c r="F91" s="63">
        <f t="shared" si="62"/>
        <v>994</v>
      </c>
      <c r="G91" s="63">
        <f t="shared" si="62"/>
        <v>983</v>
      </c>
      <c r="H91" s="63">
        <f t="shared" si="62"/>
        <v>1031</v>
      </c>
      <c r="K91" s="83"/>
      <c r="L91" s="83"/>
      <c r="M91" s="83"/>
      <c r="N91" s="83"/>
      <c r="O91" s="83"/>
      <c r="P91" s="83"/>
      <c r="Q91" s="83"/>
      <c r="S91" s="83"/>
      <c r="T91" s="83"/>
      <c r="U91" s="83"/>
      <c r="V91" s="83"/>
      <c r="W91" s="83"/>
      <c r="X91" s="83"/>
      <c r="Y91" s="83"/>
    </row>
    <row r="92" spans="2:25" ht="15.75" thickBot="1" x14ac:dyDescent="0.3">
      <c r="B92" s="19" t="s">
        <v>291</v>
      </c>
      <c r="C92" s="87">
        <f>C90+C91</f>
        <v>5282.316037735849</v>
      </c>
      <c r="D92" s="87">
        <f t="shared" ref="D92:H92" si="63">D90+D91</f>
        <v>5545.25</v>
      </c>
      <c r="E92" s="87">
        <f t="shared" si="63"/>
        <v>6454.5</v>
      </c>
      <c r="F92" s="87">
        <f t="shared" si="63"/>
        <v>6262</v>
      </c>
      <c r="G92" s="87">
        <f t="shared" si="63"/>
        <v>5127.5</v>
      </c>
      <c r="H92" s="87">
        <f t="shared" si="63"/>
        <v>1476.5</v>
      </c>
      <c r="K92" s="83"/>
      <c r="L92" s="83"/>
      <c r="M92" s="83"/>
      <c r="N92" s="83"/>
      <c r="O92" s="83"/>
      <c r="P92" s="83"/>
      <c r="Q92" s="83"/>
      <c r="S92" s="83"/>
      <c r="T92" s="83"/>
      <c r="U92" s="83"/>
      <c r="V92" s="83"/>
      <c r="W92" s="83"/>
      <c r="X92" s="83"/>
      <c r="Y92" s="83"/>
    </row>
    <row r="93" spans="2:25" ht="15.75" thickTop="1" x14ac:dyDescent="0.25">
      <c r="K93" s="83"/>
      <c r="L93" s="83"/>
      <c r="M93" s="83"/>
      <c r="N93" s="83"/>
      <c r="O93" s="83"/>
      <c r="P93" s="83"/>
      <c r="Q93" s="83"/>
      <c r="S93" s="83"/>
      <c r="T93" s="83"/>
      <c r="U93" s="83"/>
      <c r="V93" s="83"/>
      <c r="W93" s="83"/>
      <c r="X93" s="83"/>
      <c r="Y93" s="83"/>
    </row>
    <row r="94" spans="2:25" x14ac:dyDescent="0.25">
      <c r="B94" s="19" t="s">
        <v>216</v>
      </c>
      <c r="C94" s="19">
        <f>C69</f>
        <v>3634</v>
      </c>
      <c r="D94" s="19">
        <f t="shared" ref="D94:H94" si="64">D69</f>
        <v>3460</v>
      </c>
      <c r="E94" s="19">
        <f t="shared" si="64"/>
        <v>2128</v>
      </c>
      <c r="F94" s="19">
        <f t="shared" si="64"/>
        <v>3070</v>
      </c>
      <c r="G94" s="19">
        <f t="shared" si="64"/>
        <v>-10205</v>
      </c>
      <c r="H94" s="19">
        <f t="shared" si="64"/>
        <v>6057</v>
      </c>
      <c r="K94" s="83"/>
      <c r="L94" s="83"/>
      <c r="M94" s="83"/>
      <c r="N94" s="83"/>
      <c r="O94" s="83"/>
      <c r="P94" s="83"/>
      <c r="Q94" s="83"/>
      <c r="S94" s="83"/>
      <c r="T94" s="83"/>
      <c r="U94" s="83"/>
      <c r="V94" s="83"/>
      <c r="W94" s="83"/>
      <c r="X94" s="83"/>
      <c r="Y94" s="83"/>
    </row>
    <row r="95" spans="2:25" x14ac:dyDescent="0.25">
      <c r="B95" s="54" t="s">
        <v>292</v>
      </c>
      <c r="C95" s="19">
        <f>-C71</f>
        <v>253</v>
      </c>
      <c r="D95" s="19">
        <f t="shared" ref="D95:H95" si="65">-D71</f>
        <v>295</v>
      </c>
      <c r="E95" s="19">
        <f t="shared" si="65"/>
        <v>296</v>
      </c>
      <c r="F95" s="19">
        <f t="shared" si="65"/>
        <v>952</v>
      </c>
      <c r="G95" s="19">
        <f t="shared" si="65"/>
        <v>168</v>
      </c>
      <c r="H95" s="19">
        <f t="shared" si="65"/>
        <v>627</v>
      </c>
      <c r="K95" s="83"/>
      <c r="L95" s="83"/>
      <c r="M95" s="83"/>
      <c r="N95" s="83"/>
      <c r="O95" s="83"/>
      <c r="P95" s="83"/>
      <c r="Q95" s="83"/>
      <c r="S95" s="83"/>
      <c r="T95" s="83"/>
      <c r="U95" s="83"/>
      <c r="V95" s="83"/>
      <c r="W95" s="83"/>
      <c r="X95" s="83"/>
      <c r="Y95" s="83"/>
    </row>
    <row r="96" spans="2:25" x14ac:dyDescent="0.25">
      <c r="B96" s="54" t="s">
        <v>105</v>
      </c>
      <c r="C96" s="19">
        <v>-5</v>
      </c>
      <c r="D96" s="19">
        <v>-12</v>
      </c>
      <c r="E96" s="19">
        <v>-5</v>
      </c>
      <c r="F96" s="19">
        <v>2</v>
      </c>
      <c r="G96" s="19">
        <v>62</v>
      </c>
      <c r="H96" s="19">
        <v>9</v>
      </c>
      <c r="K96" s="83"/>
      <c r="L96" s="83"/>
      <c r="M96" s="83"/>
      <c r="N96" s="83"/>
      <c r="O96" s="83"/>
      <c r="P96" s="83"/>
      <c r="Q96" s="83"/>
      <c r="S96" s="83"/>
      <c r="T96" s="83"/>
      <c r="U96" s="83"/>
      <c r="V96" s="83"/>
      <c r="W96" s="83"/>
      <c r="X96" s="83"/>
      <c r="Y96" s="83"/>
    </row>
    <row r="97" spans="2:25" ht="15.75" thickBot="1" x14ac:dyDescent="0.3">
      <c r="B97" s="19" t="s">
        <v>247</v>
      </c>
      <c r="C97" s="87">
        <f>SUM(C94:C96)</f>
        <v>3882</v>
      </c>
      <c r="D97" s="87">
        <f t="shared" ref="D97:H97" si="66">SUM(D94:D96)</f>
        <v>3743</v>
      </c>
      <c r="E97" s="87">
        <f t="shared" si="66"/>
        <v>2419</v>
      </c>
      <c r="F97" s="87">
        <f t="shared" si="66"/>
        <v>4024</v>
      </c>
      <c r="G97" s="87">
        <f t="shared" si="66"/>
        <v>-9975</v>
      </c>
      <c r="H97" s="87">
        <f t="shared" si="66"/>
        <v>6693</v>
      </c>
      <c r="K97" s="83"/>
      <c r="L97" s="83"/>
      <c r="M97" s="83"/>
      <c r="N97" s="83"/>
      <c r="O97" s="83"/>
      <c r="P97" s="83"/>
      <c r="Q97" s="83"/>
      <c r="S97" s="83"/>
      <c r="T97" s="83"/>
      <c r="U97" s="83"/>
      <c r="V97" s="83"/>
      <c r="W97" s="83"/>
      <c r="X97" s="83"/>
      <c r="Y97" s="83"/>
    </row>
    <row r="98" spans="2:25" ht="15.75" thickTop="1" x14ac:dyDescent="0.25">
      <c r="C98" s="24"/>
      <c r="D98" s="24"/>
      <c r="E98" s="24"/>
      <c r="F98" s="24"/>
      <c r="G98" s="24"/>
      <c r="H98" s="24"/>
      <c r="I98" s="24"/>
      <c r="K98" s="83"/>
      <c r="L98" s="83"/>
      <c r="M98" s="83"/>
      <c r="N98" s="83"/>
      <c r="O98" s="83"/>
      <c r="P98" s="83"/>
      <c r="Q98" s="83"/>
      <c r="S98" s="83"/>
      <c r="T98" s="83"/>
      <c r="U98" s="83"/>
      <c r="V98" s="83"/>
      <c r="W98" s="83"/>
      <c r="X98" s="83"/>
      <c r="Y98" s="83"/>
    </row>
    <row r="99" spans="2:25" s="53" customFormat="1" x14ac:dyDescent="0.25">
      <c r="B99" s="66" t="str">
        <f>+B1</f>
        <v>Kraft Heinz Company</v>
      </c>
      <c r="C99" s="66" t="str">
        <f>+C1</f>
        <v>RECURRING</v>
      </c>
      <c r="D99" s="66"/>
      <c r="E99" s="66"/>
      <c r="F99" s="66"/>
      <c r="G99" s="66"/>
      <c r="H99" s="66"/>
      <c r="I99" s="66"/>
      <c r="K99" s="66" t="str">
        <f>+C99</f>
        <v>RECURRING</v>
      </c>
      <c r="L99" s="66"/>
      <c r="M99" s="66"/>
      <c r="N99" s="66"/>
      <c r="O99" s="66"/>
      <c r="P99" s="66"/>
      <c r="S99" s="66" t="str">
        <f>+C99</f>
        <v>RECURRING</v>
      </c>
      <c r="T99" s="66"/>
      <c r="U99" s="66"/>
      <c r="V99" s="66"/>
      <c r="W99" s="66"/>
      <c r="X99" s="66"/>
      <c r="Y99" s="66"/>
    </row>
    <row r="100" spans="2:25" s="53" customFormat="1" x14ac:dyDescent="0.25">
      <c r="B100" s="66" t="s">
        <v>134</v>
      </c>
      <c r="C100" s="66"/>
      <c r="D100" s="66"/>
      <c r="E100" s="66"/>
      <c r="F100" s="66"/>
      <c r="G100" s="66"/>
      <c r="H100" s="66"/>
      <c r="I100" s="66"/>
      <c r="K100" s="66" t="s">
        <v>135</v>
      </c>
      <c r="L100" s="66"/>
      <c r="M100" s="66"/>
      <c r="N100" s="66"/>
      <c r="O100" s="66"/>
      <c r="P100" s="66"/>
      <c r="S100" s="66" t="s">
        <v>63</v>
      </c>
      <c r="T100" s="66"/>
      <c r="U100" s="66"/>
      <c r="V100" s="66"/>
      <c r="W100" s="66"/>
      <c r="X100" s="66"/>
      <c r="Y100" s="66"/>
    </row>
    <row r="101" spans="2:25" s="53" customFormat="1" x14ac:dyDescent="0.25">
      <c r="B101" s="66" t="str">
        <f>+B3</f>
        <v>in millions except per share data</v>
      </c>
      <c r="C101" s="66"/>
      <c r="D101" s="66"/>
      <c r="E101" s="66"/>
      <c r="F101" s="66"/>
      <c r="G101" s="66" t="s">
        <v>262</v>
      </c>
      <c r="H101" s="67" t="s">
        <v>66</v>
      </c>
      <c r="I101" s="67"/>
      <c r="K101" s="66"/>
      <c r="L101" s="66"/>
      <c r="M101" s="66"/>
      <c r="N101" s="66"/>
      <c r="O101" s="66"/>
      <c r="P101" s="72" t="s">
        <v>66</v>
      </c>
      <c r="Q101" s="65"/>
      <c r="S101" s="66" t="s">
        <v>67</v>
      </c>
      <c r="T101" s="66" t="s">
        <v>68</v>
      </c>
      <c r="U101" s="66" t="s">
        <v>69</v>
      </c>
      <c r="V101" s="66" t="s">
        <v>70</v>
      </c>
      <c r="W101" s="66" t="s">
        <v>71</v>
      </c>
      <c r="X101" s="66" t="s">
        <v>72</v>
      </c>
      <c r="Y101" s="66" t="s">
        <v>73</v>
      </c>
    </row>
    <row r="102" spans="2:25" s="53" customFormat="1" ht="15.75" thickBot="1" x14ac:dyDescent="0.3">
      <c r="B102" s="67" t="str">
        <f>+B4</f>
        <v>Fiscal year ended 12/31:</v>
      </c>
      <c r="C102" s="69">
        <v>2022</v>
      </c>
      <c r="D102" s="69">
        <v>2021</v>
      </c>
      <c r="E102" s="69">
        <v>2020</v>
      </c>
      <c r="F102" s="69">
        <v>2019</v>
      </c>
      <c r="G102" s="69">
        <v>2018</v>
      </c>
      <c r="H102" s="69">
        <v>2017</v>
      </c>
      <c r="I102" s="69" t="s">
        <v>275</v>
      </c>
      <c r="K102" s="69">
        <v>2022</v>
      </c>
      <c r="L102" s="69">
        <v>2021</v>
      </c>
      <c r="M102" s="69">
        <v>2020</v>
      </c>
      <c r="N102" s="69">
        <v>2019</v>
      </c>
      <c r="O102" s="69">
        <v>2018</v>
      </c>
      <c r="P102" s="69">
        <v>2017</v>
      </c>
      <c r="Q102" s="77"/>
      <c r="S102" s="70" t="s">
        <v>75</v>
      </c>
      <c r="T102" s="70" t="s">
        <v>76</v>
      </c>
      <c r="U102" s="71">
        <v>2022</v>
      </c>
      <c r="V102" s="71">
        <v>2021</v>
      </c>
      <c r="W102" s="71">
        <v>2020</v>
      </c>
      <c r="X102" s="71">
        <v>2019</v>
      </c>
      <c r="Y102" s="71">
        <v>2018</v>
      </c>
    </row>
    <row r="103" spans="2:25" x14ac:dyDescent="0.25">
      <c r="B103" s="19" t="s">
        <v>293</v>
      </c>
      <c r="C103" s="60">
        <f>+'As Reported'!B68</f>
        <v>2368</v>
      </c>
      <c r="D103" s="60">
        <f>+'As Reported'!C68</f>
        <v>1024</v>
      </c>
      <c r="E103" s="60">
        <f>+'As Reported'!D68</f>
        <v>361</v>
      </c>
      <c r="F103" s="60">
        <f>+'As Reported'!E68</f>
        <v>1933</v>
      </c>
      <c r="G103" s="60">
        <f>+'As Reported'!F68</f>
        <v>-10254</v>
      </c>
      <c r="H103" s="60">
        <f>+'As Reported'!G68</f>
        <v>10932</v>
      </c>
      <c r="I103" s="60">
        <f>SUM(C103:H103)</f>
        <v>6364</v>
      </c>
      <c r="K103" s="83"/>
      <c r="L103" s="83"/>
      <c r="M103" s="83"/>
      <c r="N103" s="83"/>
      <c r="O103" s="83"/>
      <c r="P103" s="83"/>
      <c r="Q103" s="83"/>
      <c r="S103" s="83">
        <f>RATE(5,0,-H103,C103)</f>
        <v>-0.26356161826246205</v>
      </c>
      <c r="T103" s="83">
        <f t="shared" ref="T103:T116" si="67">AVERAGE(U103:Y103)</f>
        <v>-0.15813412150269723</v>
      </c>
      <c r="U103" s="83">
        <f t="shared" ref="U103:Y123" si="68">(+C103-D103)/D103</f>
        <v>1.3125</v>
      </c>
      <c r="V103" s="83">
        <f t="shared" si="68"/>
        <v>1.8365650969529086</v>
      </c>
      <c r="W103" s="83">
        <f t="shared" si="68"/>
        <v>-0.81324366270046555</v>
      </c>
      <c r="X103" s="83">
        <f t="shared" si="68"/>
        <v>-1.1885118002730641</v>
      </c>
      <c r="Y103" s="83">
        <f t="shared" si="68"/>
        <v>-1.9379802414928651</v>
      </c>
    </row>
    <row r="104" spans="2:25" x14ac:dyDescent="0.25">
      <c r="B104" s="54" t="s">
        <v>137</v>
      </c>
      <c r="C104" s="19">
        <v>933</v>
      </c>
      <c r="D104" s="19">
        <v>910</v>
      </c>
      <c r="E104" s="19">
        <v>969</v>
      </c>
      <c r="F104" s="19">
        <v>994</v>
      </c>
      <c r="G104" s="19">
        <v>983</v>
      </c>
      <c r="H104" s="19">
        <v>1031</v>
      </c>
      <c r="I104" s="19">
        <f>SUM(C104:H104)</f>
        <v>5820</v>
      </c>
      <c r="K104" s="83"/>
      <c r="L104" s="83"/>
      <c r="M104" s="83"/>
      <c r="N104" s="83"/>
      <c r="O104" s="83"/>
      <c r="P104" s="83"/>
      <c r="Q104" s="83"/>
      <c r="S104" s="83">
        <f>RATE(5,0,-H104,C104)</f>
        <v>-1.9777661112159107E-2</v>
      </c>
      <c r="T104" s="83">
        <f t="shared" si="67"/>
        <v>-1.9226040021655122E-2</v>
      </c>
      <c r="U104" s="83">
        <f t="shared" si="68"/>
        <v>2.5274725274725275E-2</v>
      </c>
      <c r="V104" s="83">
        <f t="shared" si="68"/>
        <v>-6.0887512899896801E-2</v>
      </c>
      <c r="W104" s="83">
        <f t="shared" si="68"/>
        <v>-2.5150905432595575E-2</v>
      </c>
      <c r="X104" s="83">
        <f t="shared" si="68"/>
        <v>1.1190233977619531E-2</v>
      </c>
      <c r="Y104" s="83">
        <f t="shared" si="68"/>
        <v>-4.6556741028128033E-2</v>
      </c>
    </row>
    <row r="105" spans="2:25" x14ac:dyDescent="0.25">
      <c r="B105" s="54" t="s">
        <v>138</v>
      </c>
      <c r="C105" s="19">
        <v>-14</v>
      </c>
      <c r="D105" s="19">
        <v>-7</v>
      </c>
      <c r="E105" s="19">
        <v>-122</v>
      </c>
      <c r="F105" s="19">
        <v>-306</v>
      </c>
      <c r="G105" s="19">
        <v>-339</v>
      </c>
      <c r="H105" s="19">
        <v>-328</v>
      </c>
      <c r="I105" s="19">
        <f t="shared" ref="I105:I123" si="69">SUM(C105:H105)</f>
        <v>-1116</v>
      </c>
      <c r="K105" s="83"/>
      <c r="L105" s="83"/>
      <c r="M105" s="83"/>
      <c r="N105" s="83"/>
      <c r="O105" s="83"/>
      <c r="P105" s="83"/>
      <c r="Q105" s="83"/>
      <c r="S105" s="83">
        <f>RATE(5,0,-H105,C105)</f>
        <v>-0.46782944863591575</v>
      </c>
      <c r="T105" s="83">
        <f t="shared" si="67"/>
        <v>-0.12154773754793299</v>
      </c>
      <c r="U105" s="83">
        <f t="shared" si="68"/>
        <v>1</v>
      </c>
      <c r="V105" s="83">
        <f t="shared" si="68"/>
        <v>-0.94262295081967218</v>
      </c>
      <c r="W105" s="83">
        <f t="shared" si="68"/>
        <v>-0.60130718954248363</v>
      </c>
      <c r="X105" s="83">
        <f t="shared" si="68"/>
        <v>-9.7345132743362831E-2</v>
      </c>
      <c r="Y105" s="83">
        <f t="shared" si="68"/>
        <v>3.3536585365853661E-2</v>
      </c>
    </row>
    <row r="106" spans="2:25" x14ac:dyDescent="0.25">
      <c r="B106" s="54" t="s">
        <v>294</v>
      </c>
      <c r="C106" s="19">
        <v>-56</v>
      </c>
      <c r="D106" s="19">
        <v>-4</v>
      </c>
      <c r="E106" s="19">
        <v>0</v>
      </c>
      <c r="F106" s="19">
        <v>0</v>
      </c>
      <c r="G106" s="19">
        <v>0</v>
      </c>
      <c r="H106" s="19">
        <v>0</v>
      </c>
      <c r="I106" s="19">
        <f t="shared" si="69"/>
        <v>-60</v>
      </c>
      <c r="K106" s="83"/>
      <c r="L106" s="83"/>
      <c r="M106" s="83"/>
      <c r="N106" s="83"/>
      <c r="O106" s="83"/>
      <c r="P106" s="83"/>
      <c r="Q106" s="83"/>
      <c r="S106" s="83"/>
      <c r="T106" s="83">
        <f t="shared" si="67"/>
        <v>13</v>
      </c>
      <c r="U106" s="83">
        <f t="shared" si="68"/>
        <v>13</v>
      </c>
      <c r="V106" s="83"/>
      <c r="W106" s="83"/>
      <c r="X106" s="83"/>
      <c r="Y106" s="83"/>
    </row>
    <row r="107" spans="2:25" x14ac:dyDescent="0.25">
      <c r="B107" s="54" t="s">
        <v>142</v>
      </c>
      <c r="C107" s="19">
        <v>148</v>
      </c>
      <c r="D107" s="19">
        <v>197</v>
      </c>
      <c r="E107" s="19">
        <v>156</v>
      </c>
      <c r="F107" s="19">
        <v>46</v>
      </c>
      <c r="G107" s="19">
        <v>33</v>
      </c>
      <c r="H107" s="19">
        <v>46</v>
      </c>
      <c r="I107" s="19">
        <f t="shared" si="69"/>
        <v>626</v>
      </c>
      <c r="K107" s="83"/>
      <c r="L107" s="83"/>
      <c r="M107" s="83"/>
      <c r="N107" s="83"/>
      <c r="O107" s="83"/>
      <c r="P107" s="83"/>
      <c r="Q107" s="83"/>
      <c r="S107" s="83">
        <f>RATE(5,0,-H107,C107)</f>
        <v>0.2632833632037212</v>
      </c>
      <c r="T107" s="83">
        <f t="shared" si="67"/>
        <v>0.50334491889336297</v>
      </c>
      <c r="U107" s="83">
        <f t="shared" si="68"/>
        <v>-0.24873096446700507</v>
      </c>
      <c r="V107" s="83">
        <f t="shared" si="68"/>
        <v>0.26282051282051283</v>
      </c>
      <c r="W107" s="83">
        <f t="shared" si="68"/>
        <v>2.3913043478260869</v>
      </c>
      <c r="X107" s="83">
        <f t="shared" si="68"/>
        <v>0.39393939393939392</v>
      </c>
      <c r="Y107" s="83">
        <f t="shared" si="68"/>
        <v>-0.28260869565217389</v>
      </c>
    </row>
    <row r="108" spans="2:25" x14ac:dyDescent="0.25">
      <c r="B108" s="54" t="s">
        <v>93</v>
      </c>
      <c r="C108" s="19">
        <v>-278</v>
      </c>
      <c r="D108" s="19">
        <v>-1042</v>
      </c>
      <c r="E108" s="19">
        <v>-343</v>
      </c>
      <c r="F108" s="19">
        <v>-293</v>
      </c>
      <c r="G108" s="19">
        <v>-1967</v>
      </c>
      <c r="H108" s="19">
        <v>-6495</v>
      </c>
      <c r="I108" s="19">
        <f t="shared" si="69"/>
        <v>-10418</v>
      </c>
      <c r="K108" s="83"/>
      <c r="L108" s="83"/>
      <c r="M108" s="83"/>
      <c r="N108" s="83"/>
      <c r="O108" s="83"/>
      <c r="P108" s="83"/>
      <c r="Q108" s="83"/>
      <c r="S108" s="83">
        <f>RATE(5,0,-H108,C108)</f>
        <v>-0.46753247175287116</v>
      </c>
      <c r="T108" s="83">
        <f t="shared" si="67"/>
        <v>-1.4569977367617493E-2</v>
      </c>
      <c r="U108" s="83">
        <f t="shared" si="68"/>
        <v>-0.73320537428023036</v>
      </c>
      <c r="V108" s="83">
        <f t="shared" si="68"/>
        <v>2.0379008746355685</v>
      </c>
      <c r="W108" s="83">
        <f t="shared" si="68"/>
        <v>0.17064846416382254</v>
      </c>
      <c r="X108" s="83">
        <f t="shared" si="68"/>
        <v>-0.85104219623792576</v>
      </c>
      <c r="Y108" s="83">
        <f t="shared" si="68"/>
        <v>-0.69715165511932253</v>
      </c>
    </row>
    <row r="109" spans="2:25" x14ac:dyDescent="0.25">
      <c r="B109" s="54" t="s">
        <v>143</v>
      </c>
      <c r="C109" s="19">
        <v>-23</v>
      </c>
      <c r="D109" s="19">
        <v>-27</v>
      </c>
      <c r="E109" s="19">
        <v>-27</v>
      </c>
      <c r="F109" s="19">
        <v>-32</v>
      </c>
      <c r="G109" s="19">
        <v>-76</v>
      </c>
      <c r="H109" s="19">
        <v>-1659</v>
      </c>
      <c r="I109" s="19">
        <f t="shared" si="69"/>
        <v>-1844</v>
      </c>
      <c r="K109" s="83"/>
      <c r="L109" s="83"/>
      <c r="M109" s="83"/>
      <c r="N109" s="83"/>
      <c r="O109" s="83"/>
      <c r="P109" s="83"/>
      <c r="Q109" s="83"/>
      <c r="S109" s="83">
        <f>RATE(5,0,-H109,C109)</f>
        <v>-0.57501236935767197</v>
      </c>
      <c r="T109" s="83">
        <f t="shared" si="67"/>
        <v>-0.36750695744283352</v>
      </c>
      <c r="U109" s="83">
        <f t="shared" si="68"/>
        <v>-0.14814814814814814</v>
      </c>
      <c r="V109" s="83">
        <f t="shared" si="68"/>
        <v>0</v>
      </c>
      <c r="W109" s="83">
        <f t="shared" si="68"/>
        <v>-0.15625</v>
      </c>
      <c r="X109" s="83">
        <f t="shared" si="68"/>
        <v>-0.57894736842105265</v>
      </c>
      <c r="Y109" s="83">
        <f t="shared" si="68"/>
        <v>-0.95418927064496684</v>
      </c>
    </row>
    <row r="110" spans="2:25" x14ac:dyDescent="0.25">
      <c r="B110" s="54" t="s">
        <v>144</v>
      </c>
      <c r="C110" s="19">
        <v>913</v>
      </c>
      <c r="D110" s="19">
        <v>1634</v>
      </c>
      <c r="E110" s="19">
        <v>3399</v>
      </c>
      <c r="F110" s="19">
        <v>1899</v>
      </c>
      <c r="G110" s="19">
        <v>15936</v>
      </c>
      <c r="H110" s="19">
        <v>49</v>
      </c>
      <c r="I110" s="19">
        <f t="shared" si="69"/>
        <v>23830</v>
      </c>
      <c r="K110" s="83"/>
      <c r="L110" s="83"/>
      <c r="M110" s="83"/>
      <c r="N110" s="83"/>
      <c r="O110" s="83"/>
      <c r="P110" s="83"/>
      <c r="Q110" s="83"/>
      <c r="S110" s="83">
        <f>RATE(5,0,-H110,C110)</f>
        <v>0.79496068015980603</v>
      </c>
      <c r="T110" s="83">
        <f t="shared" si="67"/>
        <v>64.634604904875033</v>
      </c>
      <c r="U110" s="83">
        <f t="shared" si="68"/>
        <v>-0.44124847001223988</v>
      </c>
      <c r="V110" s="83">
        <f t="shared" si="68"/>
        <v>-0.51927037363930573</v>
      </c>
      <c r="W110" s="83">
        <f t="shared" si="68"/>
        <v>0.78988941548183256</v>
      </c>
      <c r="X110" s="83">
        <f t="shared" si="68"/>
        <v>-0.88083584337349397</v>
      </c>
      <c r="Y110" s="83">
        <f t="shared" si="68"/>
        <v>324.22448979591837</v>
      </c>
    </row>
    <row r="111" spans="2:25" x14ac:dyDescent="0.25">
      <c r="B111" s="54" t="s">
        <v>145</v>
      </c>
      <c r="C111" s="19">
        <v>17</v>
      </c>
      <c r="D111" s="19">
        <v>0</v>
      </c>
      <c r="E111" s="19">
        <v>6</v>
      </c>
      <c r="F111" s="19">
        <v>10</v>
      </c>
      <c r="G111" s="19">
        <v>146</v>
      </c>
      <c r="H111" s="19">
        <v>36</v>
      </c>
      <c r="I111" s="19">
        <f t="shared" si="69"/>
        <v>215</v>
      </c>
      <c r="K111" s="83"/>
      <c r="L111" s="83"/>
      <c r="M111" s="83"/>
      <c r="N111" s="83"/>
      <c r="O111" s="83"/>
      <c r="P111" s="83"/>
      <c r="Q111" s="83"/>
      <c r="S111" s="83">
        <f>RATE(5,0,-H111,C111)</f>
        <v>-0.13934462747481444</v>
      </c>
      <c r="T111" s="83">
        <f t="shared" si="67"/>
        <v>0.18101217656012181</v>
      </c>
      <c r="U111" s="83"/>
      <c r="V111" s="83">
        <f t="shared" si="68"/>
        <v>-1</v>
      </c>
      <c r="W111" s="83">
        <f t="shared" si="68"/>
        <v>-0.4</v>
      </c>
      <c r="X111" s="83">
        <f t="shared" si="68"/>
        <v>-0.93150684931506844</v>
      </c>
      <c r="Y111" s="83">
        <f t="shared" si="68"/>
        <v>3.0555555555555554</v>
      </c>
    </row>
    <row r="112" spans="2:25" x14ac:dyDescent="0.25">
      <c r="B112" s="54" t="s">
        <v>147</v>
      </c>
      <c r="C112" s="19">
        <v>-25</v>
      </c>
      <c r="D112" s="19">
        <v>-44</v>
      </c>
      <c r="E112" s="19">
        <v>2</v>
      </c>
      <c r="F112" s="19">
        <v>-420</v>
      </c>
      <c r="G112" s="19">
        <v>15</v>
      </c>
      <c r="H112" s="19">
        <v>0</v>
      </c>
      <c r="I112" s="19">
        <f t="shared" si="69"/>
        <v>-472</v>
      </c>
      <c r="K112" s="83"/>
      <c r="L112" s="83"/>
      <c r="M112" s="83"/>
      <c r="N112" s="83"/>
      <c r="O112" s="83"/>
      <c r="P112" s="83"/>
      <c r="Q112" s="83"/>
      <c r="S112" s="83"/>
      <c r="T112" s="83">
        <f t="shared" si="67"/>
        <v>-13.359145021645022</v>
      </c>
      <c r="U112" s="83">
        <f t="shared" si="68"/>
        <v>-0.43181818181818182</v>
      </c>
      <c r="V112" s="83">
        <f t="shared" si="68"/>
        <v>-23</v>
      </c>
      <c r="W112" s="83">
        <f t="shared" si="68"/>
        <v>-1.0047619047619047</v>
      </c>
      <c r="X112" s="83">
        <f t="shared" si="68"/>
        <v>-29</v>
      </c>
      <c r="Y112" s="83"/>
    </row>
    <row r="113" spans="2:25" x14ac:dyDescent="0.25">
      <c r="B113" s="54" t="s">
        <v>295</v>
      </c>
      <c r="C113" s="19">
        <v>0</v>
      </c>
      <c r="D113" s="19">
        <v>1587</v>
      </c>
      <c r="E113" s="19">
        <v>0</v>
      </c>
      <c r="F113" s="19">
        <v>0</v>
      </c>
      <c r="G113" s="19">
        <v>0</v>
      </c>
      <c r="H113" s="19">
        <v>0</v>
      </c>
      <c r="I113" s="19">
        <f t="shared" si="69"/>
        <v>1587</v>
      </c>
      <c r="K113" s="83"/>
      <c r="L113" s="83"/>
      <c r="M113" s="83"/>
      <c r="N113" s="83"/>
      <c r="O113" s="83"/>
      <c r="P113" s="83"/>
      <c r="Q113" s="83"/>
      <c r="S113" s="83"/>
      <c r="T113" s="83">
        <f t="shared" si="67"/>
        <v>-1</v>
      </c>
      <c r="U113" s="83">
        <f t="shared" si="68"/>
        <v>-1</v>
      </c>
      <c r="V113" s="83"/>
      <c r="W113" s="83"/>
      <c r="X113" s="83"/>
      <c r="Y113" s="83"/>
    </row>
    <row r="114" spans="2:25" x14ac:dyDescent="0.25">
      <c r="B114" s="54" t="s">
        <v>149</v>
      </c>
      <c r="C114" s="19">
        <v>-38</v>
      </c>
      <c r="D114" s="19">
        <v>917</v>
      </c>
      <c r="E114" s="19">
        <v>124</v>
      </c>
      <c r="F114" s="19">
        <v>0</v>
      </c>
      <c r="G114" s="19">
        <v>0</v>
      </c>
      <c r="H114" s="19">
        <v>0</v>
      </c>
      <c r="I114" s="19">
        <f t="shared" si="69"/>
        <v>1003</v>
      </c>
      <c r="K114" s="83"/>
      <c r="L114" s="83"/>
      <c r="M114" s="83"/>
      <c r="N114" s="83"/>
      <c r="O114" s="83"/>
      <c r="P114" s="83"/>
      <c r="Q114" s="83"/>
      <c r="S114" s="83"/>
      <c r="T114" s="83">
        <f t="shared" si="67"/>
        <v>2.6768609068843006</v>
      </c>
      <c r="U114" s="83">
        <f t="shared" si="68"/>
        <v>-1.0414394765539803</v>
      </c>
      <c r="V114" s="83">
        <f t="shared" si="68"/>
        <v>6.395161290322581</v>
      </c>
      <c r="W114" s="83"/>
      <c r="X114" s="83"/>
      <c r="Y114" s="83"/>
    </row>
    <row r="115" spans="2:25" x14ac:dyDescent="0.25">
      <c r="B115" s="54" t="s">
        <v>150</v>
      </c>
      <c r="C115" s="19">
        <v>7</v>
      </c>
      <c r="D115" s="19">
        <v>-187</v>
      </c>
      <c r="E115" s="19">
        <v>-54</v>
      </c>
      <c r="F115" s="19">
        <v>-46</v>
      </c>
      <c r="G115" s="19">
        <v>160</v>
      </c>
      <c r="H115" s="19">
        <v>253</v>
      </c>
      <c r="I115" s="19">
        <f t="shared" si="69"/>
        <v>133</v>
      </c>
      <c r="K115" s="83"/>
      <c r="L115" s="83"/>
      <c r="M115" s="83"/>
      <c r="N115" s="83"/>
      <c r="O115" s="83"/>
      <c r="P115" s="83"/>
      <c r="Q115" s="83"/>
      <c r="S115" s="84">
        <f>RATE(5,0,-H115,C115)</f>
        <v>-0.51202732470001944</v>
      </c>
      <c r="T115" s="84">
        <f t="shared" si="67"/>
        <v>-1.1129216289062849E-2</v>
      </c>
      <c r="U115" s="84">
        <f t="shared" si="68"/>
        <v>-1.0374331550802138</v>
      </c>
      <c r="V115" s="84">
        <f t="shared" si="68"/>
        <v>2.4629629629629628</v>
      </c>
      <c r="W115" s="84">
        <f t="shared" si="68"/>
        <v>0.17391304347826086</v>
      </c>
      <c r="X115" s="84">
        <f t="shared" si="68"/>
        <v>-1.2875000000000001</v>
      </c>
      <c r="Y115" s="84">
        <f t="shared" si="68"/>
        <v>-0.3675889328063241</v>
      </c>
    </row>
    <row r="116" spans="2:25" x14ac:dyDescent="0.25">
      <c r="B116" s="88" t="s">
        <v>151</v>
      </c>
      <c r="C116" s="89">
        <f>SUM(C103:C115)</f>
        <v>3952</v>
      </c>
      <c r="D116" s="89">
        <f t="shared" ref="D116:H116" si="70">SUM(D103:D115)</f>
        <v>4958</v>
      </c>
      <c r="E116" s="89">
        <f t="shared" si="70"/>
        <v>4471</v>
      </c>
      <c r="F116" s="89">
        <f t="shared" si="70"/>
        <v>3785</v>
      </c>
      <c r="G116" s="89">
        <f t="shared" si="70"/>
        <v>4637</v>
      </c>
      <c r="H116" s="89">
        <f t="shared" si="70"/>
        <v>3865</v>
      </c>
      <c r="I116" s="89">
        <f t="shared" si="69"/>
        <v>25668</v>
      </c>
      <c r="K116" s="83"/>
      <c r="L116" s="83"/>
      <c r="M116" s="83"/>
      <c r="N116" s="83"/>
      <c r="O116" s="83"/>
      <c r="P116" s="83"/>
      <c r="Q116" s="83"/>
      <c r="S116" s="83">
        <f>RATE(5,0,-H116,C116)</f>
        <v>4.461944531612725E-3</v>
      </c>
      <c r="T116" s="83">
        <f t="shared" si="67"/>
        <v>2.0652661175588411E-2</v>
      </c>
      <c r="U116" s="83">
        <f t="shared" si="68"/>
        <v>-0.20290439693424769</v>
      </c>
      <c r="V116" s="83">
        <f t="shared" si="68"/>
        <v>0.1089241780362335</v>
      </c>
      <c r="W116" s="83">
        <f t="shared" si="68"/>
        <v>0.18124174372523116</v>
      </c>
      <c r="X116" s="83">
        <f t="shared" si="68"/>
        <v>-0.18373948673711452</v>
      </c>
      <c r="Y116" s="83">
        <f t="shared" si="68"/>
        <v>0.1997412677878396</v>
      </c>
    </row>
    <row r="117" spans="2:25" x14ac:dyDescent="0.25">
      <c r="B117" s="19" t="s">
        <v>152</v>
      </c>
      <c r="I117" s="19">
        <f t="shared" si="69"/>
        <v>0</v>
      </c>
      <c r="K117" s="83"/>
      <c r="L117" s="83"/>
      <c r="M117" s="83"/>
      <c r="N117" s="83"/>
      <c r="O117" s="83"/>
      <c r="P117" s="83"/>
      <c r="Q117" s="83"/>
      <c r="S117" s="83"/>
      <c r="T117" s="83"/>
      <c r="U117" s="83"/>
      <c r="V117" s="83"/>
      <c r="W117" s="83"/>
      <c r="X117" s="83"/>
      <c r="Y117" s="83"/>
    </row>
    <row r="118" spans="2:25" x14ac:dyDescent="0.25">
      <c r="B118" s="54" t="s">
        <v>18</v>
      </c>
      <c r="C118" s="19">
        <v>-228</v>
      </c>
      <c r="D118" s="19">
        <v>87</v>
      </c>
      <c r="E118" s="19">
        <v>-26</v>
      </c>
      <c r="F118" s="19">
        <v>140</v>
      </c>
      <c r="G118" s="19">
        <v>-2280</v>
      </c>
      <c r="H118" s="19">
        <v>-2629</v>
      </c>
      <c r="I118" s="19">
        <f t="shared" si="69"/>
        <v>-4936</v>
      </c>
      <c r="K118" s="83"/>
      <c r="L118" s="83"/>
      <c r="M118" s="83"/>
      <c r="N118" s="83"/>
      <c r="O118" s="83"/>
      <c r="P118" s="83"/>
      <c r="Q118" s="83"/>
      <c r="S118" s="83">
        <f>RATE(5,0,-H118,C118)</f>
        <v>-0.38676229142799318</v>
      </c>
      <c r="T118" s="83">
        <f t="shared" ref="T118:T123" si="71">AVERAGE(U118:Y118)</f>
        <v>-2.069342278181133</v>
      </c>
      <c r="U118" s="83">
        <f t="shared" si="68"/>
        <v>-3.6206896551724137</v>
      </c>
      <c r="V118" s="83">
        <f t="shared" si="68"/>
        <v>-4.3461538461538458</v>
      </c>
      <c r="W118" s="83">
        <f t="shared" si="68"/>
        <v>-1.1857142857142857</v>
      </c>
      <c r="X118" s="83">
        <f t="shared" si="68"/>
        <v>-1.0614035087719298</v>
      </c>
      <c r="Y118" s="83">
        <f t="shared" si="68"/>
        <v>-0.13275009509319133</v>
      </c>
    </row>
    <row r="119" spans="2:25" x14ac:dyDescent="0.25">
      <c r="B119" s="54" t="s">
        <v>19</v>
      </c>
      <c r="C119" s="19">
        <v>-1121</v>
      </c>
      <c r="D119" s="19">
        <v>-144</v>
      </c>
      <c r="E119" s="19">
        <v>-249</v>
      </c>
      <c r="F119" s="19">
        <v>-277</v>
      </c>
      <c r="G119" s="19">
        <v>-251</v>
      </c>
      <c r="H119" s="19">
        <v>-236</v>
      </c>
      <c r="I119" s="19">
        <f t="shared" si="69"/>
        <v>-2278</v>
      </c>
      <c r="K119" s="83"/>
      <c r="L119" s="83"/>
      <c r="M119" s="83"/>
      <c r="N119" s="83"/>
      <c r="O119" s="83"/>
      <c r="P119" s="83"/>
      <c r="Q119" s="83"/>
      <c r="S119" s="83">
        <f>RATE(5,0,-H119,C119)</f>
        <v>0.36564783932642692</v>
      </c>
      <c r="T119" s="83">
        <f t="shared" si="71"/>
        <v>1.2858194844295423</v>
      </c>
      <c r="U119" s="83">
        <f t="shared" si="68"/>
        <v>6.7847222222222223</v>
      </c>
      <c r="V119" s="83">
        <f t="shared" si="68"/>
        <v>-0.42168674698795183</v>
      </c>
      <c r="W119" s="83">
        <f t="shared" si="68"/>
        <v>-0.10108303249097472</v>
      </c>
      <c r="X119" s="83">
        <f t="shared" si="68"/>
        <v>0.10358565737051793</v>
      </c>
      <c r="Y119" s="83">
        <f t="shared" si="68"/>
        <v>6.3559322033898302E-2</v>
      </c>
    </row>
    <row r="120" spans="2:25" x14ac:dyDescent="0.25">
      <c r="B120" s="54" t="s">
        <v>28</v>
      </c>
      <c r="C120" s="19">
        <v>152</v>
      </c>
      <c r="D120" s="19">
        <v>408</v>
      </c>
      <c r="E120" s="19">
        <v>207</v>
      </c>
      <c r="F120" s="19">
        <v>-58</v>
      </c>
      <c r="G120" s="19">
        <v>-23</v>
      </c>
      <c r="H120" s="19">
        <v>441</v>
      </c>
      <c r="I120" s="19">
        <f t="shared" si="69"/>
        <v>1127</v>
      </c>
      <c r="K120" s="83"/>
      <c r="L120" s="83"/>
      <c r="M120" s="83"/>
      <c r="N120" s="83"/>
      <c r="O120" s="83"/>
      <c r="P120" s="83"/>
      <c r="Q120" s="91"/>
      <c r="R120" s="80"/>
      <c r="S120" s="83">
        <f>RATE(5,0,-H120,C120)</f>
        <v>-0.19187042718273711</v>
      </c>
      <c r="T120" s="83">
        <f t="shared" si="71"/>
        <v>-0.75116341389129349</v>
      </c>
      <c r="U120" s="83">
        <f t="shared" si="68"/>
        <v>-0.62745098039215685</v>
      </c>
      <c r="V120" s="83">
        <f t="shared" si="68"/>
        <v>0.97101449275362317</v>
      </c>
      <c r="W120" s="83">
        <f t="shared" si="68"/>
        <v>-4.568965517241379</v>
      </c>
      <c r="X120" s="83">
        <f t="shared" si="68"/>
        <v>1.5217391304347827</v>
      </c>
      <c r="Y120" s="83">
        <f t="shared" si="68"/>
        <v>-1.0521541950113378</v>
      </c>
    </row>
    <row r="121" spans="2:25" x14ac:dyDescent="0.25">
      <c r="B121" s="54" t="s">
        <v>20</v>
      </c>
      <c r="C121" s="19">
        <v>-314</v>
      </c>
      <c r="D121" s="19">
        <v>-32</v>
      </c>
      <c r="E121" s="19">
        <v>40</v>
      </c>
      <c r="F121" s="19">
        <v>52</v>
      </c>
      <c r="G121" s="19">
        <v>-146</v>
      </c>
      <c r="H121" s="19">
        <v>-64</v>
      </c>
      <c r="I121" s="19">
        <f t="shared" si="69"/>
        <v>-464</v>
      </c>
      <c r="K121" s="91"/>
      <c r="L121" s="91"/>
      <c r="M121" s="91"/>
      <c r="N121" s="91"/>
      <c r="O121" s="91"/>
      <c r="P121" s="91"/>
      <c r="Q121" s="91"/>
      <c r="R121" s="80"/>
      <c r="S121" s="83">
        <f>RATE(5,0,-H121,C121)</f>
        <v>0.37451642796623941</v>
      </c>
      <c r="T121" s="83">
        <f t="shared" si="71"/>
        <v>1.3413632771338251</v>
      </c>
      <c r="U121" s="83">
        <f t="shared" si="68"/>
        <v>8.8125</v>
      </c>
      <c r="V121" s="83">
        <f t="shared" si="68"/>
        <v>-1.8</v>
      </c>
      <c r="W121" s="83">
        <f t="shared" si="68"/>
        <v>-0.23076923076923078</v>
      </c>
      <c r="X121" s="83">
        <f t="shared" si="68"/>
        <v>-1.3561643835616439</v>
      </c>
      <c r="Y121" s="83">
        <f t="shared" si="68"/>
        <v>1.28125</v>
      </c>
    </row>
    <row r="122" spans="2:25" x14ac:dyDescent="0.25">
      <c r="B122" s="54" t="s">
        <v>29</v>
      </c>
      <c r="C122" s="19">
        <v>28</v>
      </c>
      <c r="D122" s="19">
        <v>87</v>
      </c>
      <c r="E122" s="19">
        <v>486</v>
      </c>
      <c r="F122" s="19">
        <v>-90</v>
      </c>
      <c r="G122" s="19">
        <v>637</v>
      </c>
      <c r="H122" s="19">
        <v>-876</v>
      </c>
      <c r="I122" s="19">
        <f t="shared" si="69"/>
        <v>272</v>
      </c>
      <c r="K122" s="91"/>
      <c r="L122" s="91"/>
      <c r="M122" s="91"/>
      <c r="N122" s="91"/>
      <c r="O122" s="91"/>
      <c r="P122" s="91"/>
      <c r="Q122" s="91"/>
      <c r="R122" s="80"/>
      <c r="S122" s="83">
        <f>RATE(5,0,H122,C122)</f>
        <v>-0.49773746411807618</v>
      </c>
      <c r="T122" s="83">
        <f t="shared" si="71"/>
        <v>-2.1535209615554671</v>
      </c>
      <c r="U122" s="83">
        <f t="shared" si="68"/>
        <v>-0.67816091954022983</v>
      </c>
      <c r="V122" s="83">
        <f t="shared" si="68"/>
        <v>-0.82098765432098764</v>
      </c>
      <c r="W122" s="83">
        <f t="shared" si="68"/>
        <v>-6.4</v>
      </c>
      <c r="X122" s="83">
        <f t="shared" si="68"/>
        <v>-1.141287284144427</v>
      </c>
      <c r="Y122" s="83">
        <f t="shared" si="68"/>
        <v>-1.7271689497716896</v>
      </c>
    </row>
    <row r="123" spans="2:25" x14ac:dyDescent="0.25">
      <c r="B123" s="19" t="s">
        <v>153</v>
      </c>
      <c r="C123" s="55">
        <f>SUM(C116:C122)</f>
        <v>2469</v>
      </c>
      <c r="D123" s="55">
        <f t="shared" ref="D123:H123" si="72">SUM(D116:D122)</f>
        <v>5364</v>
      </c>
      <c r="E123" s="55">
        <f t="shared" si="72"/>
        <v>4929</v>
      </c>
      <c r="F123" s="55">
        <f t="shared" si="72"/>
        <v>3552</v>
      </c>
      <c r="G123" s="55">
        <f t="shared" si="72"/>
        <v>2574</v>
      </c>
      <c r="H123" s="55">
        <f t="shared" si="72"/>
        <v>501</v>
      </c>
      <c r="I123" s="55">
        <f t="shared" si="69"/>
        <v>19389</v>
      </c>
      <c r="K123" s="91">
        <f t="shared" ref="K123:P123" si="73">+C123/C$123</f>
        <v>1</v>
      </c>
      <c r="L123" s="91">
        <f t="shared" si="73"/>
        <v>1</v>
      </c>
      <c r="M123" s="91">
        <f t="shared" si="73"/>
        <v>1</v>
      </c>
      <c r="N123" s="91">
        <f t="shared" si="73"/>
        <v>1</v>
      </c>
      <c r="O123" s="91">
        <f t="shared" si="73"/>
        <v>1</v>
      </c>
      <c r="P123" s="91">
        <f t="shared" si="73"/>
        <v>1</v>
      </c>
      <c r="Q123" s="91"/>
      <c r="R123" s="80"/>
      <c r="S123" s="90">
        <f>RATE(5,0,-H123,C123)</f>
        <v>0.37574097606482232</v>
      </c>
      <c r="T123" s="90">
        <f t="shared" si="71"/>
        <v>0.89077817457706199</v>
      </c>
      <c r="U123" s="90">
        <f t="shared" si="68"/>
        <v>-0.53970917225950787</v>
      </c>
      <c r="V123" s="90">
        <f t="shared" si="68"/>
        <v>8.825319537431528E-2</v>
      </c>
      <c r="W123" s="90">
        <f t="shared" si="68"/>
        <v>0.38766891891891891</v>
      </c>
      <c r="X123" s="90">
        <f t="shared" si="68"/>
        <v>0.37995337995337997</v>
      </c>
      <c r="Y123" s="90">
        <f t="shared" si="68"/>
        <v>4.1377245508982039</v>
      </c>
    </row>
    <row r="124" spans="2:25" x14ac:dyDescent="0.25">
      <c r="B124" s="19" t="s">
        <v>296</v>
      </c>
      <c r="C124" s="80"/>
      <c r="D124" s="80"/>
      <c r="E124" s="80"/>
      <c r="F124" s="80"/>
      <c r="G124" s="80"/>
      <c r="H124" s="80"/>
      <c r="I124" s="80"/>
      <c r="K124" s="91"/>
      <c r="L124" s="91"/>
      <c r="M124" s="91"/>
      <c r="N124" s="91"/>
      <c r="O124" s="91"/>
      <c r="P124" s="91"/>
      <c r="Q124" s="91"/>
      <c r="R124" s="80"/>
      <c r="S124" s="91"/>
      <c r="T124" s="91"/>
      <c r="U124" s="91"/>
      <c r="V124" s="91"/>
      <c r="W124" s="91"/>
      <c r="X124" s="91"/>
      <c r="Y124" s="91"/>
    </row>
    <row r="125" spans="2:25" x14ac:dyDescent="0.25">
      <c r="B125" s="54" t="s">
        <v>297</v>
      </c>
      <c r="C125" s="85">
        <f t="shared" ref="C125:H125" si="74">+C60+C118</f>
        <v>26257</v>
      </c>
      <c r="D125" s="85">
        <f t="shared" si="74"/>
        <v>26129</v>
      </c>
      <c r="E125" s="85">
        <f t="shared" si="74"/>
        <v>26159</v>
      </c>
      <c r="F125" s="85">
        <f t="shared" si="74"/>
        <v>25117</v>
      </c>
      <c r="G125" s="85">
        <f t="shared" si="74"/>
        <v>23988</v>
      </c>
      <c r="H125" s="85">
        <f t="shared" si="74"/>
        <v>23447</v>
      </c>
      <c r="I125" s="85">
        <f>SUM(C125:H125)</f>
        <v>151097</v>
      </c>
      <c r="K125" s="91"/>
      <c r="L125" s="91"/>
      <c r="M125" s="91"/>
      <c r="N125" s="91"/>
      <c r="O125" s="91"/>
      <c r="P125" s="91"/>
      <c r="Q125" s="91"/>
      <c r="R125" s="80"/>
      <c r="S125" s="91"/>
      <c r="T125" s="91"/>
      <c r="U125" s="91"/>
      <c r="V125" s="91"/>
      <c r="W125" s="91"/>
      <c r="X125" s="91"/>
      <c r="Y125" s="91"/>
    </row>
    <row r="126" spans="2:25" x14ac:dyDescent="0.25">
      <c r="B126" s="54" t="s">
        <v>298</v>
      </c>
      <c r="C126" s="80">
        <f t="shared" ref="C126:H126" si="75">-C61+C119+C120</f>
        <v>-19332</v>
      </c>
      <c r="D126" s="80">
        <f t="shared" si="75"/>
        <v>-17096</v>
      </c>
      <c r="E126" s="80">
        <f t="shared" si="75"/>
        <v>-17050</v>
      </c>
      <c r="F126" s="80">
        <f t="shared" si="75"/>
        <v>-17165</v>
      </c>
      <c r="G126" s="80">
        <f t="shared" si="75"/>
        <v>-17621</v>
      </c>
      <c r="H126" s="80">
        <f t="shared" si="75"/>
        <v>-16838</v>
      </c>
      <c r="I126" s="80">
        <f t="shared" ref="I126:I156" si="76">SUM(C126:H126)</f>
        <v>-105102</v>
      </c>
      <c r="K126" s="91"/>
      <c r="L126" s="91"/>
      <c r="M126" s="91"/>
      <c r="N126" s="91"/>
      <c r="O126" s="91"/>
      <c r="P126" s="91"/>
      <c r="Q126" s="91"/>
      <c r="R126" s="80"/>
      <c r="S126" s="91"/>
      <c r="T126" s="91"/>
      <c r="U126" s="91"/>
      <c r="V126" s="91"/>
      <c r="W126" s="91"/>
      <c r="X126" s="91"/>
      <c r="Y126" s="91"/>
    </row>
    <row r="127" spans="2:25" x14ac:dyDescent="0.25">
      <c r="B127" s="54" t="s">
        <v>299</v>
      </c>
      <c r="C127" s="57">
        <f>+C125+C126</f>
        <v>6925</v>
      </c>
      <c r="D127" s="57">
        <f t="shared" ref="D127:H127" si="77">+D125+D126</f>
        <v>9033</v>
      </c>
      <c r="E127" s="57">
        <f t="shared" si="77"/>
        <v>9109</v>
      </c>
      <c r="F127" s="57">
        <f t="shared" si="77"/>
        <v>7952</v>
      </c>
      <c r="G127" s="57">
        <f t="shared" si="77"/>
        <v>6367</v>
      </c>
      <c r="H127" s="57">
        <f t="shared" si="77"/>
        <v>6609</v>
      </c>
      <c r="I127" s="57">
        <f t="shared" si="76"/>
        <v>45995</v>
      </c>
      <c r="K127" s="91"/>
      <c r="L127" s="91"/>
      <c r="M127" s="91"/>
      <c r="N127" s="91"/>
      <c r="O127" s="91"/>
      <c r="P127" s="91"/>
      <c r="Q127" s="91"/>
      <c r="R127" s="80"/>
      <c r="S127" s="91"/>
      <c r="T127" s="91"/>
      <c r="U127" s="91"/>
      <c r="V127" s="91"/>
      <c r="W127" s="91"/>
      <c r="X127" s="91"/>
      <c r="Y127" s="91"/>
    </row>
    <row r="128" spans="2:25" x14ac:dyDescent="0.25">
      <c r="B128" s="54" t="s">
        <v>300</v>
      </c>
      <c r="C128" s="80">
        <f t="shared" ref="C128:H129" si="78">-C161</f>
        <v>-937</v>
      </c>
      <c r="D128" s="80">
        <f t="shared" si="78"/>
        <v>-1196</v>
      </c>
      <c r="E128" s="80">
        <f t="shared" si="78"/>
        <v>-1286</v>
      </c>
      <c r="F128" s="80">
        <f t="shared" si="78"/>
        <v>-1306</v>
      </c>
      <c r="G128" s="80">
        <f t="shared" si="78"/>
        <v>-1322</v>
      </c>
      <c r="H128" s="80">
        <f t="shared" si="78"/>
        <v>-1269</v>
      </c>
      <c r="I128" s="80">
        <f t="shared" si="76"/>
        <v>-7316</v>
      </c>
      <c r="K128" s="91"/>
      <c r="L128" s="91"/>
      <c r="M128" s="91"/>
      <c r="N128" s="91"/>
      <c r="O128" s="91"/>
      <c r="P128" s="91"/>
      <c r="Q128" s="91"/>
      <c r="R128" s="80"/>
      <c r="S128" s="91"/>
      <c r="T128" s="91"/>
      <c r="U128" s="91"/>
      <c r="V128" s="91"/>
      <c r="W128" s="91"/>
      <c r="X128" s="91"/>
      <c r="Y128" s="91"/>
    </row>
    <row r="129" spans="2:25" x14ac:dyDescent="0.25">
      <c r="B129" s="54" t="s">
        <v>301</v>
      </c>
      <c r="C129" s="80">
        <f t="shared" si="78"/>
        <v>-1260</v>
      </c>
      <c r="D129" s="80">
        <f t="shared" si="78"/>
        <v>-1295</v>
      </c>
      <c r="E129" s="80">
        <f t="shared" si="78"/>
        <v>-1027</v>
      </c>
      <c r="F129" s="80">
        <f t="shared" si="78"/>
        <v>-974</v>
      </c>
      <c r="G129" s="80">
        <f t="shared" si="78"/>
        <v>-543</v>
      </c>
      <c r="H129" s="80">
        <f t="shared" si="78"/>
        <v>-1206</v>
      </c>
      <c r="I129" s="80">
        <f t="shared" si="76"/>
        <v>-6305</v>
      </c>
      <c r="K129" s="91"/>
      <c r="L129" s="91"/>
      <c r="M129" s="91"/>
      <c r="N129" s="91"/>
      <c r="O129" s="91"/>
      <c r="P129" s="91"/>
      <c r="Q129" s="91"/>
      <c r="R129" s="80"/>
      <c r="S129" s="91"/>
      <c r="T129" s="91"/>
      <c r="U129" s="91"/>
      <c r="V129" s="91"/>
      <c r="W129" s="91"/>
      <c r="X129" s="91"/>
      <c r="Y129" s="91"/>
    </row>
    <row r="130" spans="2:25" x14ac:dyDescent="0.25">
      <c r="B130" s="54" t="s">
        <v>302</v>
      </c>
      <c r="C130" s="80">
        <f>+C113</f>
        <v>0</v>
      </c>
      <c r="D130" s="80">
        <f t="shared" ref="D130:H130" si="79">+D113</f>
        <v>1587</v>
      </c>
      <c r="E130" s="80">
        <f t="shared" si="79"/>
        <v>0</v>
      </c>
      <c r="F130" s="80">
        <f t="shared" si="79"/>
        <v>0</v>
      </c>
      <c r="G130" s="80">
        <f t="shared" si="79"/>
        <v>0</v>
      </c>
      <c r="H130" s="80">
        <f t="shared" si="79"/>
        <v>0</v>
      </c>
      <c r="I130" s="80">
        <f t="shared" si="76"/>
        <v>1587</v>
      </c>
      <c r="K130" s="91"/>
      <c r="L130" s="91"/>
      <c r="M130" s="91"/>
      <c r="N130" s="91"/>
      <c r="O130" s="91"/>
      <c r="P130" s="91"/>
      <c r="Q130" s="91"/>
      <c r="R130" s="80"/>
      <c r="S130" s="91"/>
      <c r="T130" s="91"/>
      <c r="U130" s="91"/>
      <c r="V130" s="91"/>
      <c r="W130" s="91"/>
      <c r="X130" s="91"/>
      <c r="Y130" s="91"/>
    </row>
    <row r="131" spans="2:25" x14ac:dyDescent="0.25">
      <c r="B131" s="54" t="s">
        <v>143</v>
      </c>
      <c r="C131" s="80">
        <f>+C109</f>
        <v>-23</v>
      </c>
      <c r="D131" s="80">
        <f t="shared" ref="D131:H131" si="80">+D109</f>
        <v>-27</v>
      </c>
      <c r="E131" s="80">
        <f t="shared" si="80"/>
        <v>-27</v>
      </c>
      <c r="F131" s="80">
        <f t="shared" si="80"/>
        <v>-32</v>
      </c>
      <c r="G131" s="80">
        <f t="shared" si="80"/>
        <v>-76</v>
      </c>
      <c r="H131" s="80">
        <f t="shared" si="80"/>
        <v>-1659</v>
      </c>
      <c r="I131" s="80">
        <f t="shared" si="76"/>
        <v>-1844</v>
      </c>
      <c r="K131" s="91"/>
      <c r="L131" s="91"/>
      <c r="M131" s="91"/>
      <c r="N131" s="91"/>
      <c r="O131" s="91"/>
      <c r="P131" s="91"/>
      <c r="Q131" s="91"/>
      <c r="R131" s="80"/>
      <c r="S131" s="91"/>
      <c r="T131" s="91"/>
      <c r="U131" s="91"/>
      <c r="V131" s="91"/>
      <c r="W131" s="91"/>
      <c r="X131" s="91"/>
      <c r="Y131" s="91"/>
    </row>
    <row r="132" spans="2:25" x14ac:dyDescent="0.25">
      <c r="B132" s="54" t="s">
        <v>303</v>
      </c>
      <c r="C132" s="80">
        <f>-C163</f>
        <v>-173</v>
      </c>
      <c r="D132" s="80">
        <f t="shared" ref="D132:H132" si="81">-D163</f>
        <v>-176</v>
      </c>
      <c r="E132" s="80">
        <f t="shared" si="81"/>
        <v>-173</v>
      </c>
      <c r="F132" s="80">
        <f t="shared" si="81"/>
        <v>-191</v>
      </c>
      <c r="G132" s="80">
        <f t="shared" si="81"/>
        <v>-200</v>
      </c>
      <c r="H132" s="80">
        <f t="shared" si="81"/>
        <v>-244</v>
      </c>
      <c r="I132" s="80">
        <f t="shared" si="76"/>
        <v>-1157</v>
      </c>
      <c r="K132" s="91"/>
      <c r="L132" s="91"/>
      <c r="M132" s="91"/>
      <c r="N132" s="91"/>
      <c r="O132" s="91"/>
      <c r="P132" s="91"/>
      <c r="Q132" s="91"/>
      <c r="R132" s="80"/>
      <c r="S132" s="91"/>
      <c r="T132" s="91"/>
      <c r="U132" s="91"/>
      <c r="V132" s="91"/>
      <c r="W132" s="91"/>
      <c r="X132" s="91"/>
      <c r="Y132" s="91"/>
    </row>
    <row r="133" spans="2:25" x14ac:dyDescent="0.25">
      <c r="B133" s="54" t="s">
        <v>304</v>
      </c>
      <c r="C133" s="80">
        <f t="shared" ref="C133:H133" si="82">+C134-SUM(C127:C132)</f>
        <v>-2063</v>
      </c>
      <c r="D133" s="80">
        <f t="shared" si="82"/>
        <v>-2562</v>
      </c>
      <c r="E133" s="80">
        <f t="shared" si="82"/>
        <v>-1667</v>
      </c>
      <c r="F133" s="80">
        <f t="shared" si="82"/>
        <v>-1897</v>
      </c>
      <c r="G133" s="80">
        <f t="shared" si="82"/>
        <v>-1652</v>
      </c>
      <c r="H133" s="80">
        <f t="shared" si="82"/>
        <v>-1730</v>
      </c>
      <c r="I133" s="80">
        <f t="shared" si="76"/>
        <v>-11571</v>
      </c>
      <c r="K133" s="91"/>
      <c r="L133" s="91"/>
      <c r="M133" s="91"/>
      <c r="N133" s="91"/>
      <c r="O133" s="91"/>
      <c r="P133" s="91"/>
      <c r="Q133" s="91"/>
      <c r="R133" s="80"/>
      <c r="S133" s="91"/>
      <c r="T133" s="91"/>
      <c r="U133" s="91"/>
      <c r="V133" s="91"/>
      <c r="W133" s="91"/>
      <c r="X133" s="91"/>
      <c r="Y133" s="91"/>
    </row>
    <row r="134" spans="2:25" x14ac:dyDescent="0.25">
      <c r="B134" s="19" t="s">
        <v>153</v>
      </c>
      <c r="C134" s="55">
        <f>+C123</f>
        <v>2469</v>
      </c>
      <c r="D134" s="55">
        <f t="shared" ref="D134:H134" si="83">+D123</f>
        <v>5364</v>
      </c>
      <c r="E134" s="55">
        <f t="shared" si="83"/>
        <v>4929</v>
      </c>
      <c r="F134" s="55">
        <f t="shared" si="83"/>
        <v>3552</v>
      </c>
      <c r="G134" s="55">
        <f t="shared" si="83"/>
        <v>2574</v>
      </c>
      <c r="H134" s="55">
        <f t="shared" si="83"/>
        <v>501</v>
      </c>
      <c r="I134" s="55">
        <f t="shared" si="76"/>
        <v>19389</v>
      </c>
      <c r="K134" s="91"/>
      <c r="L134" s="91"/>
      <c r="M134" s="91"/>
      <c r="N134" s="91"/>
      <c r="O134" s="91"/>
      <c r="P134" s="91"/>
      <c r="Q134" s="91"/>
      <c r="R134" s="80"/>
      <c r="S134" s="91"/>
      <c r="T134" s="91"/>
      <c r="U134" s="91"/>
      <c r="V134" s="91"/>
      <c r="W134" s="91"/>
      <c r="X134" s="91"/>
      <c r="Y134" s="91"/>
    </row>
    <row r="135" spans="2:25" x14ac:dyDescent="0.25">
      <c r="B135" s="19" t="s">
        <v>154</v>
      </c>
      <c r="K135" s="83"/>
      <c r="L135" s="83"/>
      <c r="M135" s="83"/>
      <c r="N135" s="83"/>
      <c r="O135" s="83"/>
      <c r="P135" s="83"/>
      <c r="Q135" s="83"/>
      <c r="S135" s="83"/>
      <c r="T135" s="83"/>
      <c r="U135" s="83"/>
      <c r="V135" s="83"/>
      <c r="W135" s="83"/>
      <c r="X135" s="83"/>
      <c r="Y135" s="83"/>
    </row>
    <row r="136" spans="2:25" x14ac:dyDescent="0.25">
      <c r="B136" s="54" t="s">
        <v>155</v>
      </c>
      <c r="C136" s="19">
        <v>-916</v>
      </c>
      <c r="D136" s="19">
        <v>-905</v>
      </c>
      <c r="E136" s="19">
        <v>-596</v>
      </c>
      <c r="F136" s="19">
        <v>-768</v>
      </c>
      <c r="G136" s="19">
        <v>-826</v>
      </c>
      <c r="H136" s="19">
        <v>-1194</v>
      </c>
      <c r="I136" s="19">
        <f t="shared" si="76"/>
        <v>-5205</v>
      </c>
      <c r="K136" s="83">
        <f t="shared" ref="K136:P142" si="84">+C136/C$123</f>
        <v>-0.37100040502227621</v>
      </c>
      <c r="L136" s="83">
        <f t="shared" si="84"/>
        <v>-0.16871737509321402</v>
      </c>
      <c r="M136" s="83">
        <f t="shared" si="84"/>
        <v>-0.12091702170825726</v>
      </c>
      <c r="N136" s="83">
        <f t="shared" si="84"/>
        <v>-0.21621621621621623</v>
      </c>
      <c r="O136" s="83">
        <f t="shared" si="84"/>
        <v>-0.3209013209013209</v>
      </c>
      <c r="P136" s="83">
        <f t="shared" si="84"/>
        <v>-2.3832335329341316</v>
      </c>
      <c r="Q136" s="83"/>
      <c r="S136" s="83">
        <f>RATE(5,0,-H136,C136)</f>
        <v>-5.1629078507473856E-2</v>
      </c>
      <c r="T136" s="83">
        <f t="shared" ref="T136:T142" si="85">AVERAGE(U136:Y136)</f>
        <v>-1.4354576845997035E-2</v>
      </c>
      <c r="U136" s="83">
        <f t="shared" ref="U136:Y142" si="86">(+C136-D136)/D136</f>
        <v>1.2154696132596685E-2</v>
      </c>
      <c r="V136" s="83">
        <f t="shared" si="86"/>
        <v>0.51845637583892612</v>
      </c>
      <c r="W136" s="83">
        <f t="shared" si="86"/>
        <v>-0.22395833333333334</v>
      </c>
      <c r="X136" s="83">
        <f t="shared" si="86"/>
        <v>-7.0217917675544791E-2</v>
      </c>
      <c r="Y136" s="83">
        <f t="shared" si="86"/>
        <v>-0.3082077051926298</v>
      </c>
    </row>
    <row r="137" spans="2:25" x14ac:dyDescent="0.25">
      <c r="B137" s="54" t="s">
        <v>156</v>
      </c>
      <c r="C137" s="19">
        <v>0</v>
      </c>
      <c r="D137" s="19">
        <v>0</v>
      </c>
      <c r="E137" s="19">
        <v>0</v>
      </c>
      <c r="F137" s="19">
        <v>0</v>
      </c>
      <c r="G137" s="19">
        <v>1296</v>
      </c>
      <c r="H137" s="19">
        <v>2286</v>
      </c>
      <c r="I137" s="19">
        <f t="shared" si="76"/>
        <v>3582</v>
      </c>
      <c r="K137" s="83">
        <f t="shared" si="84"/>
        <v>0</v>
      </c>
      <c r="L137" s="83">
        <f t="shared" si="84"/>
        <v>0</v>
      </c>
      <c r="M137" s="83">
        <f t="shared" si="84"/>
        <v>0</v>
      </c>
      <c r="N137" s="83">
        <f t="shared" si="84"/>
        <v>0</v>
      </c>
      <c r="O137" s="83">
        <f t="shared" si="84"/>
        <v>0.50349650349650354</v>
      </c>
      <c r="P137" s="83">
        <f t="shared" si="84"/>
        <v>4.5628742514970062</v>
      </c>
      <c r="Q137" s="83"/>
      <c r="S137" s="83">
        <f>RATE(5,0,-H137,C137)</f>
        <v>-0.99999940914518248</v>
      </c>
      <c r="T137" s="83">
        <f t="shared" si="85"/>
        <v>-0.7165354330708662</v>
      </c>
      <c r="U137" s="83"/>
      <c r="V137" s="83"/>
      <c r="W137" s="83"/>
      <c r="X137" s="83">
        <f t="shared" si="86"/>
        <v>-1</v>
      </c>
      <c r="Y137" s="83">
        <f t="shared" si="86"/>
        <v>-0.43307086614173229</v>
      </c>
    </row>
    <row r="138" spans="2:25" x14ac:dyDescent="0.25">
      <c r="B138" s="54" t="s">
        <v>305</v>
      </c>
      <c r="C138" s="19">
        <v>-481</v>
      </c>
      <c r="D138" s="19">
        <v>-74</v>
      </c>
      <c r="E138" s="19">
        <v>0</v>
      </c>
      <c r="F138" s="19">
        <v>-199</v>
      </c>
      <c r="G138" s="19">
        <v>-248</v>
      </c>
      <c r="H138" s="19">
        <v>0</v>
      </c>
      <c r="I138" s="19">
        <f t="shared" si="76"/>
        <v>-1002</v>
      </c>
      <c r="K138" s="83">
        <f t="shared" si="84"/>
        <v>-0.19481571486431754</v>
      </c>
      <c r="L138" s="83">
        <f t="shared" si="84"/>
        <v>-1.3795674869500374E-2</v>
      </c>
      <c r="M138" s="83">
        <f t="shared" si="84"/>
        <v>0</v>
      </c>
      <c r="N138" s="83">
        <f t="shared" si="84"/>
        <v>-5.6024774774774772E-2</v>
      </c>
      <c r="O138" s="83">
        <f t="shared" si="84"/>
        <v>-9.6348096348096351E-2</v>
      </c>
      <c r="P138" s="83">
        <f t="shared" si="84"/>
        <v>0</v>
      </c>
      <c r="Q138" s="83"/>
      <c r="S138" s="83"/>
      <c r="T138" s="83">
        <f t="shared" si="85"/>
        <v>1.4341397849462367</v>
      </c>
      <c r="U138" s="83">
        <f t="shared" si="86"/>
        <v>5.5</v>
      </c>
      <c r="V138" s="83"/>
      <c r="W138" s="83">
        <f t="shared" si="86"/>
        <v>-1</v>
      </c>
      <c r="X138" s="83">
        <f t="shared" si="86"/>
        <v>-0.19758064516129031</v>
      </c>
      <c r="Y138" s="83"/>
    </row>
    <row r="139" spans="2:25" x14ac:dyDescent="0.25">
      <c r="B139" s="54" t="s">
        <v>158</v>
      </c>
      <c r="C139" s="19">
        <v>208</v>
      </c>
      <c r="D139" s="19">
        <v>-28</v>
      </c>
      <c r="E139" s="19">
        <v>25</v>
      </c>
      <c r="F139" s="19">
        <v>590</v>
      </c>
      <c r="G139" s="19">
        <v>24</v>
      </c>
      <c r="H139" s="19">
        <v>0</v>
      </c>
      <c r="I139" s="19">
        <f t="shared" si="76"/>
        <v>819</v>
      </c>
      <c r="K139" s="83">
        <f t="shared" si="84"/>
        <v>8.4244633454840012E-2</v>
      </c>
      <c r="L139" s="83">
        <f t="shared" si="84"/>
        <v>-5.219985085756898E-3</v>
      </c>
      <c r="M139" s="83">
        <f t="shared" si="84"/>
        <v>5.0720227226617974E-3</v>
      </c>
      <c r="N139" s="83">
        <f t="shared" si="84"/>
        <v>0.1661036036036036</v>
      </c>
      <c r="O139" s="83">
        <f t="shared" si="84"/>
        <v>9.324009324009324E-3</v>
      </c>
      <c r="P139" s="83">
        <f t="shared" si="84"/>
        <v>0</v>
      </c>
      <c r="Q139" s="83"/>
      <c r="S139" s="83"/>
      <c r="T139" s="83">
        <f t="shared" si="85"/>
        <v>3.0192836965294592</v>
      </c>
      <c r="U139" s="83">
        <f t="shared" si="86"/>
        <v>-8.4285714285714288</v>
      </c>
      <c r="V139" s="83">
        <f t="shared" si="86"/>
        <v>-2.12</v>
      </c>
      <c r="W139" s="83">
        <f t="shared" si="86"/>
        <v>-0.9576271186440678</v>
      </c>
      <c r="X139" s="83">
        <f t="shared" si="86"/>
        <v>23.583333333333332</v>
      </c>
      <c r="Y139" s="83"/>
    </row>
    <row r="140" spans="2:25" x14ac:dyDescent="0.25">
      <c r="B140" s="54" t="s">
        <v>159</v>
      </c>
      <c r="C140" s="19">
        <v>88</v>
      </c>
      <c r="D140" s="19">
        <v>5014</v>
      </c>
      <c r="E140" s="19">
        <v>0</v>
      </c>
      <c r="F140" s="19">
        <v>1875</v>
      </c>
      <c r="G140" s="19">
        <v>18</v>
      </c>
      <c r="H140" s="19">
        <v>0</v>
      </c>
      <c r="I140" s="19">
        <f t="shared" si="76"/>
        <v>6995</v>
      </c>
      <c r="K140" s="83">
        <f t="shared" si="84"/>
        <v>3.5641960307816932E-2</v>
      </c>
      <c r="L140" s="83">
        <f t="shared" si="84"/>
        <v>0.93475018642803875</v>
      </c>
      <c r="M140" s="83">
        <f t="shared" si="84"/>
        <v>0</v>
      </c>
      <c r="N140" s="83">
        <f t="shared" si="84"/>
        <v>0.5278716216216216</v>
      </c>
      <c r="O140" s="83">
        <f t="shared" si="84"/>
        <v>6.993006993006993E-3</v>
      </c>
      <c r="P140" s="83">
        <f t="shared" si="84"/>
        <v>0</v>
      </c>
      <c r="Q140" s="83"/>
      <c r="S140" s="83"/>
      <c r="T140" s="83">
        <f t="shared" si="85"/>
        <v>33.728072508088466</v>
      </c>
      <c r="U140" s="83">
        <f t="shared" si="86"/>
        <v>-0.98244914240127645</v>
      </c>
      <c r="V140" s="83"/>
      <c r="W140" s="83">
        <f t="shared" si="86"/>
        <v>-1</v>
      </c>
      <c r="X140" s="83">
        <f t="shared" si="86"/>
        <v>103.16666666666667</v>
      </c>
      <c r="Y140" s="83"/>
    </row>
    <row r="141" spans="2:25" x14ac:dyDescent="0.25">
      <c r="B141" s="54" t="s">
        <v>160</v>
      </c>
      <c r="C141" s="19">
        <v>10</v>
      </c>
      <c r="D141" s="19">
        <v>31</v>
      </c>
      <c r="E141" s="19">
        <v>49</v>
      </c>
      <c r="F141" s="19">
        <v>13</v>
      </c>
      <c r="G141" s="19">
        <v>24</v>
      </c>
      <c r="H141" s="19">
        <v>85</v>
      </c>
      <c r="I141" s="19">
        <f t="shared" si="76"/>
        <v>212</v>
      </c>
      <c r="K141" s="83">
        <f t="shared" si="84"/>
        <v>4.0502227622519239E-3</v>
      </c>
      <c r="L141" s="83">
        <f t="shared" si="84"/>
        <v>5.779269202087994E-3</v>
      </c>
      <c r="M141" s="83">
        <f t="shared" si="84"/>
        <v>9.9411645364171231E-3</v>
      </c>
      <c r="N141" s="83">
        <f t="shared" si="84"/>
        <v>3.6599099099099098E-3</v>
      </c>
      <c r="O141" s="83">
        <f t="shared" si="84"/>
        <v>9.324009324009324E-3</v>
      </c>
      <c r="P141" s="83">
        <f t="shared" si="84"/>
        <v>0.16966067864271456</v>
      </c>
      <c r="Q141" s="91"/>
      <c r="R141" s="80"/>
      <c r="S141" s="83">
        <f>RATE(5,0,-H141,C141)</f>
        <v>-0.34819721036856505</v>
      </c>
      <c r="T141" s="83">
        <f t="shared" si="85"/>
        <v>0.10969681669193732</v>
      </c>
      <c r="U141" s="83">
        <f t="shared" si="86"/>
        <v>-0.67741935483870963</v>
      </c>
      <c r="V141" s="83">
        <f t="shared" si="86"/>
        <v>-0.36734693877551022</v>
      </c>
      <c r="W141" s="83">
        <f t="shared" si="86"/>
        <v>2.7692307692307692</v>
      </c>
      <c r="X141" s="83">
        <f t="shared" si="86"/>
        <v>-0.45833333333333331</v>
      </c>
      <c r="Y141" s="83">
        <f t="shared" si="86"/>
        <v>-0.71764705882352942</v>
      </c>
    </row>
    <row r="142" spans="2:25" x14ac:dyDescent="0.25">
      <c r="B142" s="19" t="s">
        <v>161</v>
      </c>
      <c r="C142" s="55">
        <f>SUM(C136:C141)</f>
        <v>-1091</v>
      </c>
      <c r="D142" s="55">
        <f t="shared" ref="D142:H142" si="87">SUM(D136:D141)</f>
        <v>4038</v>
      </c>
      <c r="E142" s="55">
        <f t="shared" si="87"/>
        <v>-522</v>
      </c>
      <c r="F142" s="55">
        <f t="shared" si="87"/>
        <v>1511</v>
      </c>
      <c r="G142" s="55">
        <f t="shared" si="87"/>
        <v>288</v>
      </c>
      <c r="H142" s="55">
        <f t="shared" si="87"/>
        <v>1177</v>
      </c>
      <c r="I142" s="55">
        <f t="shared" si="76"/>
        <v>5401</v>
      </c>
      <c r="K142" s="90">
        <f t="shared" si="84"/>
        <v>-0.44187930336168491</v>
      </c>
      <c r="L142" s="90">
        <f t="shared" si="84"/>
        <v>0.75279642058165552</v>
      </c>
      <c r="M142" s="90">
        <f t="shared" si="84"/>
        <v>-0.10590383444917834</v>
      </c>
      <c r="N142" s="90">
        <f t="shared" si="84"/>
        <v>0.42539414414414417</v>
      </c>
      <c r="O142" s="90">
        <f t="shared" si="84"/>
        <v>0.11188811188811189</v>
      </c>
      <c r="P142" s="90">
        <f t="shared" si="84"/>
        <v>2.3493013972055889</v>
      </c>
      <c r="Q142" s="91"/>
      <c r="R142" s="80"/>
      <c r="S142" s="90">
        <f>((C142/H142)^1/5)-1</f>
        <v>-1.1853865760407816</v>
      </c>
      <c r="T142" s="90">
        <f t="shared" si="85"/>
        <v>-1.5720128708089158</v>
      </c>
      <c r="U142" s="90">
        <f t="shared" si="86"/>
        <v>-1.2701832590391282</v>
      </c>
      <c r="V142" s="90">
        <f t="shared" si="86"/>
        <v>-8.7356321839080469</v>
      </c>
      <c r="W142" s="90">
        <f t="shared" si="86"/>
        <v>-1.3454665784248843</v>
      </c>
      <c r="X142" s="90">
        <f t="shared" si="86"/>
        <v>4.2465277777777777</v>
      </c>
      <c r="Y142" s="90">
        <f t="shared" si="86"/>
        <v>-0.75531011045029739</v>
      </c>
    </row>
    <row r="143" spans="2:25" x14ac:dyDescent="0.25">
      <c r="B143" s="19" t="s">
        <v>162</v>
      </c>
      <c r="K143" s="83"/>
      <c r="L143" s="83"/>
      <c r="M143" s="83"/>
      <c r="N143" s="83"/>
      <c r="O143" s="83"/>
      <c r="P143" s="83"/>
      <c r="Q143" s="91"/>
      <c r="R143" s="80"/>
      <c r="S143" s="83"/>
      <c r="T143" s="83"/>
      <c r="U143" s="83"/>
      <c r="V143" s="83"/>
      <c r="W143" s="83"/>
      <c r="X143" s="83"/>
      <c r="Y143" s="83"/>
    </row>
    <row r="144" spans="2:25" x14ac:dyDescent="0.25">
      <c r="B144" s="56" t="s">
        <v>163</v>
      </c>
      <c r="C144" s="19">
        <v>-1465</v>
      </c>
      <c r="D144" s="19">
        <v>-6202</v>
      </c>
      <c r="E144" s="19">
        <v>-4697</v>
      </c>
      <c r="F144" s="19">
        <v>-4795</v>
      </c>
      <c r="G144" s="19">
        <v>-2713</v>
      </c>
      <c r="H144" s="19">
        <v>-2641</v>
      </c>
      <c r="I144" s="19">
        <f t="shared" si="76"/>
        <v>-22513</v>
      </c>
      <c r="K144" s="83">
        <f t="shared" ref="K144:P150" si="88">+C144/C$123</f>
        <v>-0.59335763466990687</v>
      </c>
      <c r="L144" s="83">
        <f t="shared" si="88"/>
        <v>-1.1562266964951529</v>
      </c>
      <c r="M144" s="83">
        <f t="shared" si="88"/>
        <v>-0.95293162913369855</v>
      </c>
      <c r="N144" s="83">
        <f t="shared" si="88"/>
        <v>-1.3499436936936937</v>
      </c>
      <c r="O144" s="83">
        <f t="shared" si="88"/>
        <v>-1.0540015540015539</v>
      </c>
      <c r="P144" s="83">
        <f t="shared" si="88"/>
        <v>-5.2714570858283434</v>
      </c>
      <c r="Q144" s="91"/>
      <c r="R144" s="80"/>
      <c r="S144" s="83">
        <f>RATE(5,0,-H144,C144)</f>
        <v>-0.11117994623485696</v>
      </c>
      <c r="T144" s="83">
        <f t="shared" ref="T144:T150" si="89">AVERAGE(U144:Y144)</f>
        <v>6.6174400199464883E-2</v>
      </c>
      <c r="U144" s="83">
        <f t="shared" ref="U144:Y150" si="90">(+C144-D144)/D144</f>
        <v>-0.76378587552402455</v>
      </c>
      <c r="V144" s="83">
        <f t="shared" si="90"/>
        <v>0.32041728763040239</v>
      </c>
      <c r="W144" s="83">
        <f t="shared" si="90"/>
        <v>-2.0437956204379562E-2</v>
      </c>
      <c r="X144" s="83">
        <f t="shared" si="90"/>
        <v>0.76741614448949502</v>
      </c>
      <c r="Y144" s="83">
        <f t="shared" si="90"/>
        <v>2.7262400605831124E-2</v>
      </c>
    </row>
    <row r="145" spans="2:25" x14ac:dyDescent="0.25">
      <c r="B145" s="56" t="s">
        <v>164</v>
      </c>
      <c r="C145" s="19">
        <v>0</v>
      </c>
      <c r="D145" s="19">
        <v>0</v>
      </c>
      <c r="E145" s="19">
        <v>3500</v>
      </c>
      <c r="F145" s="19">
        <v>2967</v>
      </c>
      <c r="G145" s="19">
        <v>2990</v>
      </c>
      <c r="H145" s="19">
        <v>1496</v>
      </c>
      <c r="I145" s="19">
        <f t="shared" si="76"/>
        <v>10953</v>
      </c>
      <c r="K145" s="83">
        <f t="shared" si="88"/>
        <v>0</v>
      </c>
      <c r="L145" s="83">
        <f t="shared" si="88"/>
        <v>0</v>
      </c>
      <c r="M145" s="83">
        <f t="shared" si="88"/>
        <v>0.71008318117265168</v>
      </c>
      <c r="N145" s="83">
        <f t="shared" si="88"/>
        <v>0.83530405405405406</v>
      </c>
      <c r="O145" s="83">
        <f t="shared" si="88"/>
        <v>1.1616161616161615</v>
      </c>
      <c r="P145" s="83">
        <f t="shared" si="88"/>
        <v>2.9860279441117763</v>
      </c>
      <c r="Q145" s="91"/>
      <c r="R145" s="80"/>
      <c r="S145" s="83">
        <f>RATE(5,0,-H145,C145)</f>
        <v>-0.99999940914518248</v>
      </c>
      <c r="T145" s="83">
        <f t="shared" si="89"/>
        <v>4.2653382670779921E-2</v>
      </c>
      <c r="U145" s="83"/>
      <c r="V145" s="83">
        <f t="shared" si="90"/>
        <v>-1</v>
      </c>
      <c r="W145" s="83">
        <f t="shared" si="90"/>
        <v>0.17964273677114931</v>
      </c>
      <c r="X145" s="83">
        <f t="shared" si="90"/>
        <v>-7.6923076923076927E-3</v>
      </c>
      <c r="Y145" s="83">
        <f t="shared" si="90"/>
        <v>0.99866310160427807</v>
      </c>
    </row>
    <row r="146" spans="2:25" x14ac:dyDescent="0.25">
      <c r="B146" s="56" t="s">
        <v>165</v>
      </c>
      <c r="C146" s="19">
        <v>10</v>
      </c>
      <c r="D146" s="19">
        <v>-924</v>
      </c>
      <c r="E146" s="19">
        <v>-116</v>
      </c>
      <c r="F146" s="19">
        <v>-99</v>
      </c>
      <c r="G146" s="19">
        <v>0</v>
      </c>
      <c r="H146" s="19">
        <v>0</v>
      </c>
      <c r="I146" s="19">
        <f t="shared" si="76"/>
        <v>-1129</v>
      </c>
      <c r="K146" s="83">
        <f t="shared" si="88"/>
        <v>4.0502227622519239E-3</v>
      </c>
      <c r="L146" s="83">
        <f t="shared" si="88"/>
        <v>-0.17225950782997762</v>
      </c>
      <c r="M146" s="83">
        <f t="shared" si="88"/>
        <v>-2.353418543315074E-2</v>
      </c>
      <c r="N146" s="83">
        <f t="shared" si="88"/>
        <v>-2.7871621621621621E-2</v>
      </c>
      <c r="O146" s="83">
        <f t="shared" si="88"/>
        <v>0</v>
      </c>
      <c r="P146" s="83">
        <f t="shared" si="88"/>
        <v>0</v>
      </c>
      <c r="Q146" s="91"/>
      <c r="R146" s="80"/>
      <c r="S146" s="83"/>
      <c r="T146" s="83">
        <f t="shared" si="89"/>
        <v>2.0421373007579908</v>
      </c>
      <c r="U146" s="83">
        <f t="shared" si="90"/>
        <v>-1.0108225108225108</v>
      </c>
      <c r="V146" s="83">
        <f t="shared" si="90"/>
        <v>6.9655172413793105</v>
      </c>
      <c r="W146" s="83">
        <f t="shared" si="90"/>
        <v>0.17171717171717171</v>
      </c>
      <c r="X146" s="83"/>
      <c r="Y146" s="83"/>
    </row>
    <row r="147" spans="2:25" x14ac:dyDescent="0.25">
      <c r="B147" s="56" t="s">
        <v>166</v>
      </c>
      <c r="C147" s="19">
        <v>0</v>
      </c>
      <c r="D147" s="19">
        <v>0</v>
      </c>
      <c r="E147" s="19">
        <v>4000</v>
      </c>
      <c r="F147" s="19">
        <v>0</v>
      </c>
      <c r="G147" s="19">
        <v>0</v>
      </c>
      <c r="H147" s="19">
        <v>0</v>
      </c>
      <c r="I147" s="19">
        <f t="shared" si="76"/>
        <v>4000</v>
      </c>
      <c r="K147" s="83">
        <f t="shared" si="88"/>
        <v>0</v>
      </c>
      <c r="L147" s="83">
        <f t="shared" si="88"/>
        <v>0</v>
      </c>
      <c r="M147" s="83">
        <f t="shared" si="88"/>
        <v>0.81152363562588758</v>
      </c>
      <c r="N147" s="83">
        <f t="shared" si="88"/>
        <v>0</v>
      </c>
      <c r="O147" s="83">
        <f t="shared" si="88"/>
        <v>0</v>
      </c>
      <c r="P147" s="83">
        <f t="shared" si="88"/>
        <v>0</v>
      </c>
      <c r="Q147" s="91"/>
      <c r="R147" s="80"/>
      <c r="S147" s="83"/>
      <c r="T147" s="83">
        <f t="shared" si="89"/>
        <v>-1</v>
      </c>
      <c r="U147" s="83"/>
      <c r="V147" s="83">
        <f t="shared" si="90"/>
        <v>-1</v>
      </c>
      <c r="W147" s="83"/>
      <c r="X147" s="83"/>
      <c r="Y147" s="83"/>
    </row>
    <row r="148" spans="2:25" x14ac:dyDescent="0.25">
      <c r="B148" s="56" t="s">
        <v>167</v>
      </c>
      <c r="C148" s="19">
        <v>0</v>
      </c>
      <c r="D148" s="19">
        <v>0</v>
      </c>
      <c r="E148" s="19">
        <v>-4000</v>
      </c>
      <c r="F148" s="19">
        <v>0</v>
      </c>
      <c r="G148" s="19">
        <v>0</v>
      </c>
      <c r="H148" s="19">
        <v>0</v>
      </c>
      <c r="I148" s="19">
        <f t="shared" si="76"/>
        <v>-4000</v>
      </c>
      <c r="K148" s="83">
        <f t="shared" si="88"/>
        <v>0</v>
      </c>
      <c r="L148" s="83">
        <f t="shared" si="88"/>
        <v>0</v>
      </c>
      <c r="M148" s="83">
        <f t="shared" si="88"/>
        <v>-0.81152363562588758</v>
      </c>
      <c r="N148" s="83">
        <f t="shared" si="88"/>
        <v>0</v>
      </c>
      <c r="O148" s="83">
        <f t="shared" si="88"/>
        <v>0</v>
      </c>
      <c r="P148" s="83">
        <f t="shared" si="88"/>
        <v>0</v>
      </c>
      <c r="Q148" s="91"/>
      <c r="R148" s="80"/>
      <c r="S148" s="83"/>
      <c r="T148" s="83">
        <f t="shared" si="89"/>
        <v>-1</v>
      </c>
      <c r="U148" s="83"/>
      <c r="V148" s="83">
        <f t="shared" si="90"/>
        <v>-1</v>
      </c>
      <c r="W148" s="83"/>
      <c r="X148" s="83"/>
      <c r="Y148" s="83"/>
    </row>
    <row r="149" spans="2:25" x14ac:dyDescent="0.25">
      <c r="B149" s="56" t="s">
        <v>168</v>
      </c>
      <c r="C149" s="19">
        <v>228</v>
      </c>
      <c r="D149" s="19">
        <v>0</v>
      </c>
      <c r="E149" s="19">
        <v>0</v>
      </c>
      <c r="F149" s="19">
        <v>557</v>
      </c>
      <c r="G149" s="19">
        <v>2784</v>
      </c>
      <c r="H149" s="19">
        <v>6043</v>
      </c>
      <c r="I149" s="19">
        <f t="shared" si="76"/>
        <v>9612</v>
      </c>
      <c r="K149" s="83">
        <f t="shared" si="88"/>
        <v>9.2345078979343867E-2</v>
      </c>
      <c r="L149" s="83">
        <f t="shared" si="88"/>
        <v>0</v>
      </c>
      <c r="M149" s="83">
        <f t="shared" si="88"/>
        <v>0</v>
      </c>
      <c r="N149" s="83">
        <f t="shared" si="88"/>
        <v>0.15681306306306306</v>
      </c>
      <c r="O149" s="83">
        <f t="shared" si="88"/>
        <v>1.0815850815850816</v>
      </c>
      <c r="P149" s="83">
        <f t="shared" si="88"/>
        <v>12.061876247504991</v>
      </c>
      <c r="Q149" s="91"/>
      <c r="R149" s="80"/>
      <c r="S149" s="83">
        <f>RATE(5,0,-H149,C149)</f>
        <v>-0.48079788783255906</v>
      </c>
      <c r="T149" s="83">
        <f t="shared" si="89"/>
        <v>-0.77974327742494243</v>
      </c>
      <c r="U149" s="83"/>
      <c r="V149" s="83"/>
      <c r="W149" s="83">
        <f t="shared" si="90"/>
        <v>-1</v>
      </c>
      <c r="X149" s="83">
        <f t="shared" si="90"/>
        <v>-0.79992816091954022</v>
      </c>
      <c r="Y149" s="83">
        <f t="shared" si="90"/>
        <v>-0.53930167135528706</v>
      </c>
    </row>
    <row r="150" spans="2:25" x14ac:dyDescent="0.25">
      <c r="B150" s="56" t="s">
        <v>169</v>
      </c>
      <c r="C150" s="19">
        <v>-228</v>
      </c>
      <c r="D150" s="19">
        <v>0</v>
      </c>
      <c r="E150" s="19">
        <v>0</v>
      </c>
      <c r="F150" s="19">
        <v>-557</v>
      </c>
      <c r="G150" s="19">
        <v>-3213</v>
      </c>
      <c r="H150" s="19">
        <v>-6249</v>
      </c>
      <c r="I150" s="19">
        <f t="shared" si="76"/>
        <v>-10247</v>
      </c>
      <c r="K150" s="83">
        <f t="shared" si="88"/>
        <v>-9.2345078979343867E-2</v>
      </c>
      <c r="L150" s="83">
        <f t="shared" si="88"/>
        <v>0</v>
      </c>
      <c r="M150" s="83">
        <f t="shared" si="88"/>
        <v>0</v>
      </c>
      <c r="N150" s="83">
        <f t="shared" si="88"/>
        <v>-0.15681306306306306</v>
      </c>
      <c r="O150" s="83">
        <f t="shared" si="88"/>
        <v>-1.2482517482517483</v>
      </c>
      <c r="P150" s="83">
        <f t="shared" si="88"/>
        <v>-12.473053892215569</v>
      </c>
      <c r="Q150" s="91"/>
      <c r="R150" s="80"/>
      <c r="S150" s="83">
        <f>RATE(5,0,-H150,C150)</f>
        <v>-0.48426706751700083</v>
      </c>
      <c r="T150" s="83">
        <f t="shared" si="89"/>
        <v>-0.77082650061856139</v>
      </c>
      <c r="U150" s="83"/>
      <c r="V150" s="83"/>
      <c r="W150" s="83">
        <f t="shared" si="90"/>
        <v>-1</v>
      </c>
      <c r="X150" s="83">
        <f t="shared" si="90"/>
        <v>-0.82664176781823839</v>
      </c>
      <c r="Y150" s="83">
        <f t="shared" si="90"/>
        <v>-0.48583773403744601</v>
      </c>
    </row>
    <row r="151" spans="2:25" x14ac:dyDescent="0.25">
      <c r="B151" s="54" t="s">
        <v>306</v>
      </c>
      <c r="C151" s="57">
        <f>SUM(C144:C150)</f>
        <v>-1455</v>
      </c>
      <c r="D151" s="57">
        <f t="shared" ref="D151:H151" si="91">SUM(D144:D150)</f>
        <v>-7126</v>
      </c>
      <c r="E151" s="57">
        <f t="shared" si="91"/>
        <v>-1313</v>
      </c>
      <c r="F151" s="57">
        <f t="shared" si="91"/>
        <v>-1927</v>
      </c>
      <c r="G151" s="57">
        <f t="shared" si="91"/>
        <v>-152</v>
      </c>
      <c r="H151" s="57">
        <f t="shared" si="91"/>
        <v>-1351</v>
      </c>
      <c r="I151" s="57">
        <f t="shared" si="76"/>
        <v>-13324</v>
      </c>
      <c r="K151" s="83"/>
      <c r="L151" s="83"/>
      <c r="M151" s="83"/>
      <c r="N151" s="83"/>
      <c r="O151" s="83"/>
      <c r="P151" s="83"/>
      <c r="Q151" s="91"/>
      <c r="R151" s="80"/>
      <c r="S151" s="83"/>
      <c r="T151" s="83"/>
      <c r="U151" s="83"/>
      <c r="V151" s="83"/>
      <c r="W151" s="83"/>
      <c r="X151" s="83"/>
      <c r="Y151" s="83"/>
    </row>
    <row r="152" spans="2:25" x14ac:dyDescent="0.25">
      <c r="B152" s="54" t="s">
        <v>307</v>
      </c>
      <c r="C152" s="19">
        <v>-1960</v>
      </c>
      <c r="D152" s="19">
        <v>-1959</v>
      </c>
      <c r="E152" s="19">
        <v>-1958</v>
      </c>
      <c r="F152" s="19">
        <v>-1953</v>
      </c>
      <c r="G152" s="19">
        <v>-3183</v>
      </c>
      <c r="H152" s="19">
        <v>-2888</v>
      </c>
      <c r="I152" s="19">
        <f t="shared" si="76"/>
        <v>-13901</v>
      </c>
      <c r="K152" s="83">
        <f t="shared" ref="K152:P158" si="92">+C152/C$123</f>
        <v>-0.79384366140137708</v>
      </c>
      <c r="L152" s="83">
        <f t="shared" si="92"/>
        <v>-0.36521252796420584</v>
      </c>
      <c r="M152" s="83">
        <f t="shared" si="92"/>
        <v>-0.39724081963887198</v>
      </c>
      <c r="N152" s="83">
        <f t="shared" si="92"/>
        <v>-0.54983108108108103</v>
      </c>
      <c r="O152" s="83">
        <f t="shared" si="92"/>
        <v>-1.2365967365967365</v>
      </c>
      <c r="P152" s="83">
        <f t="shared" si="92"/>
        <v>-5.764471057884232</v>
      </c>
      <c r="Q152" s="91"/>
      <c r="R152" s="80"/>
      <c r="S152" s="83">
        <f>RATE(5,0,-H152,C152)</f>
        <v>-7.4595138905815289E-2</v>
      </c>
      <c r="T152" s="83">
        <f>AVERAGE(U152:Y152)</f>
        <v>-5.6139946040355194E-2</v>
      </c>
      <c r="U152" s="83">
        <f t="shared" ref="U152:Y158" si="93">(+C152-D152)/D152</f>
        <v>5.1046452271567128E-4</v>
      </c>
      <c r="V152" s="83">
        <f t="shared" si="93"/>
        <v>5.1072522982635344E-4</v>
      </c>
      <c r="W152" s="83">
        <f t="shared" si="93"/>
        <v>2.5601638504864311E-3</v>
      </c>
      <c r="X152" s="83">
        <f t="shared" si="93"/>
        <v>-0.38642789820923656</v>
      </c>
      <c r="Y152" s="83">
        <f t="shared" si="93"/>
        <v>0.10214681440443213</v>
      </c>
    </row>
    <row r="153" spans="2:25" x14ac:dyDescent="0.25">
      <c r="B153" s="54" t="s">
        <v>174</v>
      </c>
      <c r="C153" s="19">
        <v>-299</v>
      </c>
      <c r="D153" s="19">
        <v>-259</v>
      </c>
      <c r="E153" s="19">
        <v>-60</v>
      </c>
      <c r="F153" s="19">
        <v>-33</v>
      </c>
      <c r="G153" s="19">
        <v>-28</v>
      </c>
      <c r="H153" s="19">
        <v>18</v>
      </c>
      <c r="I153" s="19">
        <f t="shared" si="76"/>
        <v>-661</v>
      </c>
      <c r="K153" s="83">
        <f t="shared" si="92"/>
        <v>-0.12110166059133252</v>
      </c>
      <c r="L153" s="83">
        <f t="shared" si="92"/>
        <v>-4.8284862043251303E-2</v>
      </c>
      <c r="M153" s="83">
        <f t="shared" si="92"/>
        <v>-1.2172854534388313E-2</v>
      </c>
      <c r="N153" s="83">
        <f t="shared" si="92"/>
        <v>-9.2905405405405411E-3</v>
      </c>
      <c r="O153" s="83">
        <f t="shared" si="92"/>
        <v>-1.0878010878010878E-2</v>
      </c>
      <c r="P153" s="83">
        <f t="shared" si="92"/>
        <v>3.5928143712574849E-2</v>
      </c>
      <c r="Q153" s="91"/>
      <c r="R153" s="80"/>
      <c r="S153" s="83">
        <f>((C153/H153)^1/5)-1</f>
        <v>-4.322222222222222</v>
      </c>
      <c r="T153" s="83">
        <f>AVERAGE(U153:Y153)</f>
        <v>0.38246090246090264</v>
      </c>
      <c r="U153" s="83">
        <f t="shared" si="93"/>
        <v>0.15444015444015444</v>
      </c>
      <c r="V153" s="83">
        <f t="shared" si="93"/>
        <v>3.3166666666666669</v>
      </c>
      <c r="W153" s="83">
        <f t="shared" si="93"/>
        <v>0.81818181818181823</v>
      </c>
      <c r="X153" s="83">
        <f t="shared" si="93"/>
        <v>0.17857142857142858</v>
      </c>
      <c r="Y153" s="83">
        <f t="shared" si="93"/>
        <v>-2.5555555555555554</v>
      </c>
    </row>
    <row r="154" spans="2:25" x14ac:dyDescent="0.25">
      <c r="B154" s="19" t="s">
        <v>175</v>
      </c>
      <c r="C154" s="55">
        <f>SUM(C151:C153)</f>
        <v>-3714</v>
      </c>
      <c r="D154" s="55">
        <f t="shared" ref="D154:H154" si="94">SUM(D151:D153)</f>
        <v>-9344</v>
      </c>
      <c r="E154" s="55">
        <f t="shared" si="94"/>
        <v>-3331</v>
      </c>
      <c r="F154" s="55">
        <f t="shared" si="94"/>
        <v>-3913</v>
      </c>
      <c r="G154" s="55">
        <f t="shared" si="94"/>
        <v>-3363</v>
      </c>
      <c r="H154" s="55">
        <f t="shared" si="94"/>
        <v>-4221</v>
      </c>
      <c r="I154" s="55">
        <f t="shared" si="76"/>
        <v>-27886</v>
      </c>
      <c r="K154" s="90">
        <f t="shared" si="92"/>
        <v>-1.5042527339003646</v>
      </c>
      <c r="L154" s="90">
        <f t="shared" si="92"/>
        <v>-1.7419835943325876</v>
      </c>
      <c r="M154" s="90">
        <f t="shared" si="92"/>
        <v>-0.6757963075674579</v>
      </c>
      <c r="N154" s="90">
        <f t="shared" si="92"/>
        <v>-1.101632882882883</v>
      </c>
      <c r="O154" s="90">
        <f t="shared" si="92"/>
        <v>-1.3065268065268065</v>
      </c>
      <c r="P154" s="90">
        <f t="shared" si="92"/>
        <v>-8.4251497005988032</v>
      </c>
      <c r="Q154" s="91"/>
      <c r="R154" s="80"/>
      <c r="S154" s="90">
        <f t="shared" ref="S154:S158" si="95">RATE(5,0,-H154,C154)</f>
        <v>-2.5267808183075099E-2</v>
      </c>
      <c r="T154" s="90">
        <f t="shared" ref="T154:T158" si="96">AVERAGE(U154:Y154)</f>
        <v>0.20283560611242665</v>
      </c>
      <c r="U154" s="90">
        <f t="shared" si="93"/>
        <v>-0.60252568493150682</v>
      </c>
      <c r="V154" s="90">
        <f t="shared" si="93"/>
        <v>1.805163614530171</v>
      </c>
      <c r="W154" s="90">
        <f t="shared" si="93"/>
        <v>-0.14873498594428827</v>
      </c>
      <c r="X154" s="90">
        <f t="shared" si="93"/>
        <v>0.16354445435622955</v>
      </c>
      <c r="Y154" s="90">
        <f t="shared" si="93"/>
        <v>-0.20326936744847193</v>
      </c>
    </row>
    <row r="155" spans="2:25" x14ac:dyDescent="0.25">
      <c r="B155" s="19" t="s">
        <v>176</v>
      </c>
      <c r="C155" s="19">
        <v>-69</v>
      </c>
      <c r="D155" s="19">
        <v>-30</v>
      </c>
      <c r="E155" s="19">
        <v>62</v>
      </c>
      <c r="F155" s="19">
        <v>-6</v>
      </c>
      <c r="G155" s="19">
        <v>-132</v>
      </c>
      <c r="H155" s="19">
        <v>57</v>
      </c>
      <c r="I155" s="19">
        <f t="shared" si="76"/>
        <v>-118</v>
      </c>
      <c r="K155" s="90">
        <f t="shared" si="92"/>
        <v>-2.7946537059538274E-2</v>
      </c>
      <c r="L155" s="90">
        <f t="shared" si="92"/>
        <v>-5.5928411633109623E-3</v>
      </c>
      <c r="M155" s="90">
        <f t="shared" si="92"/>
        <v>1.2578616352201259E-2</v>
      </c>
      <c r="N155" s="90">
        <f t="shared" si="92"/>
        <v>-1.6891891891891893E-3</v>
      </c>
      <c r="O155" s="90">
        <f t="shared" si="92"/>
        <v>-5.128205128205128E-2</v>
      </c>
      <c r="P155" s="90">
        <f t="shared" si="92"/>
        <v>0.11377245508982035</v>
      </c>
      <c r="Q155" s="91"/>
      <c r="R155" s="80"/>
      <c r="S155" s="90">
        <f>((C155/H155)^1/5)-1</f>
        <v>-1.2421052631578948</v>
      </c>
      <c r="T155" s="90">
        <f t="shared" si="96"/>
        <v>-3.1575078458609869</v>
      </c>
      <c r="U155" s="90">
        <f t="shared" si="93"/>
        <v>1.3</v>
      </c>
      <c r="V155" s="90">
        <f t="shared" si="93"/>
        <v>-1.4838709677419355</v>
      </c>
      <c r="W155" s="90">
        <f t="shared" si="93"/>
        <v>-11.333333333333334</v>
      </c>
      <c r="X155" s="90">
        <f t="shared" si="93"/>
        <v>-0.95454545454545459</v>
      </c>
      <c r="Y155" s="90">
        <f t="shared" si="93"/>
        <v>-3.3157894736842106</v>
      </c>
    </row>
    <row r="156" spans="2:25" x14ac:dyDescent="0.25">
      <c r="B156" s="19" t="s">
        <v>322</v>
      </c>
      <c r="C156" s="57">
        <f t="shared" ref="C156:H156" si="97">+C155+C154+C142+C123</f>
        <v>-2405</v>
      </c>
      <c r="D156" s="57">
        <f t="shared" si="97"/>
        <v>28</v>
      </c>
      <c r="E156" s="57">
        <f t="shared" si="97"/>
        <v>1138</v>
      </c>
      <c r="F156" s="57">
        <f t="shared" si="97"/>
        <v>1144</v>
      </c>
      <c r="G156" s="57">
        <f t="shared" si="97"/>
        <v>-633</v>
      </c>
      <c r="H156" s="57">
        <f t="shared" si="97"/>
        <v>-2486</v>
      </c>
      <c r="I156" s="57">
        <f t="shared" si="76"/>
        <v>-3214</v>
      </c>
      <c r="K156" s="83">
        <f t="shared" si="92"/>
        <v>-0.97407857432158773</v>
      </c>
      <c r="L156" s="83">
        <f t="shared" si="92"/>
        <v>5.219985085756898E-3</v>
      </c>
      <c r="M156" s="83">
        <f t="shared" si="92"/>
        <v>0.23087847433556502</v>
      </c>
      <c r="N156" s="83">
        <f t="shared" si="92"/>
        <v>0.32207207207207206</v>
      </c>
      <c r="O156" s="83">
        <f t="shared" si="92"/>
        <v>-0.24592074592074592</v>
      </c>
      <c r="P156" s="83">
        <f t="shared" si="92"/>
        <v>-4.9620758483033933</v>
      </c>
      <c r="Q156" s="91"/>
      <c r="R156" s="80"/>
      <c r="S156" s="83">
        <f t="shared" si="95"/>
        <v>-6.6031208578273834E-3</v>
      </c>
      <c r="T156" s="83">
        <f t="shared" si="96"/>
        <v>-18.285227681247186</v>
      </c>
      <c r="U156" s="83">
        <f t="shared" si="93"/>
        <v>-86.892857142857139</v>
      </c>
      <c r="V156" s="83">
        <f t="shared" si="93"/>
        <v>-0.97539543057996481</v>
      </c>
      <c r="W156" s="83">
        <f t="shared" si="93"/>
        <v>-5.244755244755245E-3</v>
      </c>
      <c r="X156" s="83">
        <f t="shared" si="93"/>
        <v>-2.807266982622433</v>
      </c>
      <c r="Y156" s="83">
        <f t="shared" si="93"/>
        <v>-0.7453740949316171</v>
      </c>
    </row>
    <row r="157" spans="2:25" x14ac:dyDescent="0.25">
      <c r="B157" s="19" t="s">
        <v>178</v>
      </c>
      <c r="C157" s="19">
        <f>+D158</f>
        <v>3446</v>
      </c>
      <c r="D157" s="19">
        <f t="shared" ref="D157:F157" si="98">+E158</f>
        <v>3418</v>
      </c>
      <c r="E157" s="19">
        <v>2280</v>
      </c>
      <c r="F157" s="19">
        <f t="shared" si="98"/>
        <v>1136</v>
      </c>
      <c r="G157" s="19">
        <v>1769</v>
      </c>
      <c r="H157" s="19">
        <v>4255</v>
      </c>
      <c r="I157" s="19">
        <f>+H157</f>
        <v>4255</v>
      </c>
      <c r="K157" s="83">
        <f t="shared" si="92"/>
        <v>1.3957067638720129</v>
      </c>
      <c r="L157" s="83">
        <f t="shared" si="92"/>
        <v>0.63721103653989564</v>
      </c>
      <c r="M157" s="83">
        <f t="shared" si="92"/>
        <v>0.46256847230675591</v>
      </c>
      <c r="N157" s="83">
        <f t="shared" si="92"/>
        <v>0.31981981981981983</v>
      </c>
      <c r="O157" s="83">
        <f t="shared" si="92"/>
        <v>0.68725718725718721</v>
      </c>
      <c r="P157" s="83">
        <f t="shared" si="92"/>
        <v>8.4930139720558877</v>
      </c>
      <c r="Q157" s="91"/>
      <c r="R157" s="80"/>
      <c r="S157" s="83">
        <f t="shared" si="95"/>
        <v>-4.1299085289094761E-2</v>
      </c>
      <c r="T157" s="83">
        <f t="shared" si="96"/>
        <v>0.11445477690487413</v>
      </c>
      <c r="U157" s="83">
        <f t="shared" si="93"/>
        <v>8.1919251023990641E-3</v>
      </c>
      <c r="V157" s="83">
        <f t="shared" si="93"/>
        <v>0.49912280701754386</v>
      </c>
      <c r="W157" s="83">
        <f t="shared" si="93"/>
        <v>1.0070422535211268</v>
      </c>
      <c r="X157" s="83">
        <f t="shared" si="93"/>
        <v>-0.35782928208027132</v>
      </c>
      <c r="Y157" s="83">
        <f t="shared" si="93"/>
        <v>-0.5842538190364277</v>
      </c>
    </row>
    <row r="158" spans="2:25" ht="15.75" thickBot="1" x14ac:dyDescent="0.3">
      <c r="B158" s="19" t="s">
        <v>179</v>
      </c>
      <c r="C158" s="74">
        <f>+C157+C156</f>
        <v>1041</v>
      </c>
      <c r="D158" s="74">
        <f t="shared" ref="D158:H158" si="99">+D157+D156</f>
        <v>3446</v>
      </c>
      <c r="E158" s="74">
        <f t="shared" si="99"/>
        <v>3418</v>
      </c>
      <c r="F158" s="74">
        <f t="shared" si="99"/>
        <v>2280</v>
      </c>
      <c r="G158" s="74">
        <f t="shared" si="99"/>
        <v>1136</v>
      </c>
      <c r="H158" s="74">
        <f t="shared" si="99"/>
        <v>1769</v>
      </c>
      <c r="I158" s="74">
        <f>+I157+I156</f>
        <v>1041</v>
      </c>
      <c r="K158" s="86">
        <f t="shared" si="92"/>
        <v>0.42162818955042525</v>
      </c>
      <c r="L158" s="86">
        <f t="shared" si="92"/>
        <v>0.64243102162565247</v>
      </c>
      <c r="M158" s="86">
        <f t="shared" si="92"/>
        <v>0.69344694664232098</v>
      </c>
      <c r="N158" s="86">
        <f t="shared" si="92"/>
        <v>0.64189189189189189</v>
      </c>
      <c r="O158" s="86">
        <f t="shared" si="92"/>
        <v>0.44133644133644134</v>
      </c>
      <c r="P158" s="86">
        <f t="shared" si="92"/>
        <v>3.5309381237524948</v>
      </c>
      <c r="Q158" s="91"/>
      <c r="R158" s="80"/>
      <c r="S158" s="86">
        <f t="shared" si="95"/>
        <v>-0.10061719678040582</v>
      </c>
      <c r="T158" s="86">
        <f t="shared" si="96"/>
        <v>9.1723416510186367E-2</v>
      </c>
      <c r="U158" s="86">
        <f t="shared" si="93"/>
        <v>-0.69791062100986656</v>
      </c>
      <c r="V158" s="86">
        <f t="shared" si="93"/>
        <v>8.1919251023990641E-3</v>
      </c>
      <c r="W158" s="86">
        <f t="shared" si="93"/>
        <v>0.49912280701754386</v>
      </c>
      <c r="X158" s="86">
        <f t="shared" si="93"/>
        <v>1.0070422535211268</v>
      </c>
      <c r="Y158" s="86">
        <f t="shared" si="93"/>
        <v>-0.35782928208027132</v>
      </c>
    </row>
    <row r="159" spans="2:25" ht="15.75" thickTop="1" x14ac:dyDescent="0.25">
      <c r="B159" s="58" t="s">
        <v>308</v>
      </c>
      <c r="C159" s="19">
        <f t="shared" ref="C159:H159" si="100">+C158-C6</f>
        <v>1</v>
      </c>
      <c r="D159" s="19">
        <f t="shared" si="100"/>
        <v>1</v>
      </c>
      <c r="E159" s="19">
        <f t="shared" si="100"/>
        <v>1</v>
      </c>
      <c r="F159" s="19">
        <f t="shared" si="100"/>
        <v>1</v>
      </c>
      <c r="G159" s="19">
        <f t="shared" si="100"/>
        <v>6</v>
      </c>
      <c r="H159" s="19">
        <f t="shared" si="100"/>
        <v>140</v>
      </c>
      <c r="Q159" s="80"/>
      <c r="R159" s="80"/>
    </row>
    <row r="160" spans="2:25" x14ac:dyDescent="0.25">
      <c r="R160" s="80"/>
    </row>
    <row r="161" spans="1:18" hidden="1" x14ac:dyDescent="0.25">
      <c r="B161" s="19" t="s">
        <v>181</v>
      </c>
      <c r="C161" s="60">
        <v>937</v>
      </c>
      <c r="D161" s="60">
        <v>1196</v>
      </c>
      <c r="E161" s="60">
        <v>1286</v>
      </c>
      <c r="F161" s="60">
        <v>1306</v>
      </c>
      <c r="G161" s="60">
        <v>1322</v>
      </c>
      <c r="H161" s="60">
        <v>1269</v>
      </c>
      <c r="I161" s="60"/>
      <c r="R161" s="80"/>
    </row>
    <row r="162" spans="1:18" hidden="1" x14ac:dyDescent="0.25">
      <c r="B162" s="19" t="s">
        <v>182</v>
      </c>
      <c r="C162" s="19">
        <v>1260</v>
      </c>
      <c r="D162" s="19">
        <v>1295</v>
      </c>
      <c r="E162" s="19">
        <v>1027</v>
      </c>
      <c r="F162" s="19">
        <v>974</v>
      </c>
      <c r="G162" s="19">
        <v>543</v>
      </c>
      <c r="H162" s="19">
        <v>1206</v>
      </c>
      <c r="R162" s="80"/>
    </row>
    <row r="163" spans="1:18" hidden="1" x14ac:dyDescent="0.25">
      <c r="B163" s="19" t="s">
        <v>183</v>
      </c>
      <c r="C163" s="60">
        <v>173</v>
      </c>
      <c r="D163" s="60">
        <v>176</v>
      </c>
      <c r="E163" s="60">
        <v>173</v>
      </c>
      <c r="F163" s="60">
        <v>191</v>
      </c>
      <c r="G163" s="60">
        <v>200</v>
      </c>
      <c r="H163" s="60">
        <v>244</v>
      </c>
      <c r="I163" s="60"/>
      <c r="R163" s="80"/>
    </row>
    <row r="164" spans="1:18" x14ac:dyDescent="0.25">
      <c r="A164" s="53"/>
      <c r="B164" s="66" t="str">
        <f>B1</f>
        <v>Kraft Heinz Company</v>
      </c>
      <c r="C164" s="66" t="str">
        <f>C1</f>
        <v>RECURRING</v>
      </c>
      <c r="D164" s="66"/>
      <c r="E164" s="66"/>
      <c r="F164" s="66"/>
      <c r="G164" s="66"/>
      <c r="H164" s="66"/>
      <c r="I164" s="66"/>
    </row>
    <row r="165" spans="1:18" x14ac:dyDescent="0.25">
      <c r="A165" s="53"/>
      <c r="B165" s="66" t="s">
        <v>521</v>
      </c>
      <c r="C165" s="66"/>
      <c r="D165" s="66"/>
      <c r="E165" s="66"/>
      <c r="F165" s="66"/>
      <c r="G165" s="66"/>
      <c r="H165" s="66"/>
      <c r="I165" s="66"/>
    </row>
    <row r="166" spans="1:18" x14ac:dyDescent="0.25">
      <c r="A166" s="53"/>
      <c r="B166" s="66" t="str">
        <f>B3</f>
        <v>in millions except per share data</v>
      </c>
      <c r="C166" s="66"/>
      <c r="D166" s="66"/>
      <c r="E166" s="66"/>
      <c r="F166" s="66"/>
      <c r="G166" s="66"/>
      <c r="H166" s="66"/>
      <c r="I166" s="66"/>
    </row>
    <row r="167" spans="1:18" ht="15.75" thickBot="1" x14ac:dyDescent="0.3">
      <c r="A167" s="53"/>
      <c r="B167" s="67" t="str">
        <f>B4</f>
        <v>Fiscal year ended 12/31:</v>
      </c>
      <c r="C167" s="69">
        <v>2022</v>
      </c>
      <c r="D167" s="69">
        <v>2021</v>
      </c>
      <c r="E167" s="69">
        <v>2020</v>
      </c>
      <c r="F167" s="69">
        <v>2019</v>
      </c>
      <c r="G167" s="69">
        <v>2018</v>
      </c>
      <c r="H167" s="69">
        <v>2017</v>
      </c>
      <c r="I167" s="69" t="s">
        <v>275</v>
      </c>
    </row>
    <row r="168" spans="1:18" x14ac:dyDescent="0.25">
      <c r="B168" s="19" t="s">
        <v>323</v>
      </c>
      <c r="C168" s="60">
        <f t="shared" ref="C168:H168" si="101">C60</f>
        <v>26485</v>
      </c>
      <c r="D168" s="60">
        <f t="shared" si="101"/>
        <v>26042</v>
      </c>
      <c r="E168" s="60">
        <f t="shared" si="101"/>
        <v>26185</v>
      </c>
      <c r="F168" s="60">
        <f t="shared" si="101"/>
        <v>24977</v>
      </c>
      <c r="G168" s="60">
        <f t="shared" si="101"/>
        <v>26268</v>
      </c>
      <c r="H168" s="60">
        <f t="shared" si="101"/>
        <v>26076</v>
      </c>
      <c r="I168" s="60">
        <f>SUM(C168:H168)</f>
        <v>156033</v>
      </c>
      <c r="J168" s="83"/>
    </row>
    <row r="169" spans="1:18" x14ac:dyDescent="0.25">
      <c r="B169" s="54" t="s">
        <v>324</v>
      </c>
      <c r="C169" s="84">
        <f>C170/C168</f>
        <v>0.14921653766282802</v>
      </c>
      <c r="D169" s="84">
        <f t="shared" ref="D169:I169" si="102">D170/D168</f>
        <v>0.19038476307503263</v>
      </c>
      <c r="E169" s="84">
        <f t="shared" si="102"/>
        <v>0.17074661065495514</v>
      </c>
      <c r="F169" s="84">
        <f t="shared" si="102"/>
        <v>0.15153941626296191</v>
      </c>
      <c r="G169" s="84">
        <f t="shared" si="102"/>
        <v>0.17652657225521548</v>
      </c>
      <c r="H169" s="84">
        <f t="shared" si="102"/>
        <v>0.14822058597944471</v>
      </c>
      <c r="I169" s="84">
        <f t="shared" si="102"/>
        <v>0.16450366268673935</v>
      </c>
    </row>
    <row r="170" spans="1:18" x14ac:dyDescent="0.25">
      <c r="B170" s="19" t="s">
        <v>325</v>
      </c>
      <c r="C170" s="19">
        <f>C116</f>
        <v>3952</v>
      </c>
      <c r="D170" s="19">
        <f t="shared" ref="D170:H170" si="103">D116</f>
        <v>4958</v>
      </c>
      <c r="E170" s="19">
        <f t="shared" si="103"/>
        <v>4471</v>
      </c>
      <c r="F170" s="19">
        <f t="shared" si="103"/>
        <v>3785</v>
      </c>
      <c r="G170" s="19">
        <f t="shared" si="103"/>
        <v>4637</v>
      </c>
      <c r="H170" s="19">
        <f t="shared" si="103"/>
        <v>3865</v>
      </c>
      <c r="I170" s="19">
        <f t="shared" ref="I170:I182" si="104">SUM(C170:H170)</f>
        <v>25668</v>
      </c>
    </row>
    <row r="171" spans="1:18" x14ac:dyDescent="0.25">
      <c r="B171" s="54" t="s">
        <v>326</v>
      </c>
      <c r="C171" s="63">
        <f>C172-C170</f>
        <v>-1483</v>
      </c>
      <c r="D171" s="63">
        <f t="shared" ref="D171:H171" si="105">D172-D170</f>
        <v>406</v>
      </c>
      <c r="E171" s="63">
        <f t="shared" si="105"/>
        <v>458</v>
      </c>
      <c r="F171" s="63">
        <f t="shared" si="105"/>
        <v>-233</v>
      </c>
      <c r="G171" s="63">
        <f t="shared" si="105"/>
        <v>-2063</v>
      </c>
      <c r="H171" s="63">
        <f t="shared" si="105"/>
        <v>-3364</v>
      </c>
      <c r="I171" s="63">
        <f t="shared" si="104"/>
        <v>-6279</v>
      </c>
    </row>
    <row r="172" spans="1:18" x14ac:dyDescent="0.25">
      <c r="B172" s="19" t="s">
        <v>327</v>
      </c>
      <c r="C172" s="19">
        <f>C123</f>
        <v>2469</v>
      </c>
      <c r="D172" s="19">
        <f t="shared" ref="D172:H172" si="106">D123</f>
        <v>5364</v>
      </c>
      <c r="E172" s="19">
        <f t="shared" si="106"/>
        <v>4929</v>
      </c>
      <c r="F172" s="19">
        <f t="shared" si="106"/>
        <v>3552</v>
      </c>
      <c r="G172" s="19">
        <f t="shared" si="106"/>
        <v>2574</v>
      </c>
      <c r="H172" s="19">
        <f t="shared" si="106"/>
        <v>501</v>
      </c>
      <c r="I172" s="19">
        <f t="shared" si="104"/>
        <v>19389</v>
      </c>
    </row>
    <row r="173" spans="1:18" x14ac:dyDescent="0.25">
      <c r="B173" s="54" t="s">
        <v>328</v>
      </c>
      <c r="C173" s="63">
        <f>C136</f>
        <v>-916</v>
      </c>
      <c r="D173" s="63">
        <f t="shared" ref="D173:H173" si="107">D136</f>
        <v>-905</v>
      </c>
      <c r="E173" s="63">
        <f t="shared" si="107"/>
        <v>-596</v>
      </c>
      <c r="F173" s="63">
        <f t="shared" si="107"/>
        <v>-768</v>
      </c>
      <c r="G173" s="63">
        <f t="shared" si="107"/>
        <v>-826</v>
      </c>
      <c r="H173" s="63">
        <f t="shared" si="107"/>
        <v>-1194</v>
      </c>
      <c r="I173" s="63">
        <f t="shared" si="104"/>
        <v>-5205</v>
      </c>
    </row>
    <row r="174" spans="1:18" x14ac:dyDescent="0.25">
      <c r="B174" s="19" t="s">
        <v>329</v>
      </c>
      <c r="C174" s="19">
        <f>C172+C173</f>
        <v>1553</v>
      </c>
      <c r="D174" s="19">
        <f t="shared" ref="D174:H174" si="108">D172+D173</f>
        <v>4459</v>
      </c>
      <c r="E174" s="19">
        <f t="shared" si="108"/>
        <v>4333</v>
      </c>
      <c r="F174" s="19">
        <f t="shared" si="108"/>
        <v>2784</v>
      </c>
      <c r="G174" s="19">
        <f t="shared" si="108"/>
        <v>1748</v>
      </c>
      <c r="H174" s="19">
        <f t="shared" si="108"/>
        <v>-693</v>
      </c>
      <c r="I174" s="19">
        <f t="shared" si="104"/>
        <v>14184</v>
      </c>
    </row>
    <row r="175" spans="1:18" x14ac:dyDescent="0.25">
      <c r="B175" s="54" t="s">
        <v>330</v>
      </c>
      <c r="C175" s="19">
        <v>0</v>
      </c>
      <c r="D175" s="19">
        <v>0</v>
      </c>
      <c r="E175" s="19">
        <v>0</v>
      </c>
      <c r="F175" s="19">
        <v>0</v>
      </c>
      <c r="G175" s="19">
        <v>1296</v>
      </c>
      <c r="H175" s="19">
        <v>2286</v>
      </c>
      <c r="I175" s="19">
        <f t="shared" si="104"/>
        <v>3582</v>
      </c>
    </row>
    <row r="176" spans="1:18" x14ac:dyDescent="0.25">
      <c r="B176" s="54" t="s">
        <v>331</v>
      </c>
      <c r="C176" s="19">
        <v>-481</v>
      </c>
      <c r="D176" s="19">
        <v>-74</v>
      </c>
      <c r="E176" s="19">
        <v>0</v>
      </c>
      <c r="F176" s="19">
        <v>-199</v>
      </c>
      <c r="G176" s="19">
        <v>-248</v>
      </c>
      <c r="H176" s="19">
        <v>0</v>
      </c>
      <c r="I176" s="19">
        <f t="shared" si="104"/>
        <v>-1002</v>
      </c>
    </row>
    <row r="177" spans="1:9" x14ac:dyDescent="0.25">
      <c r="B177" s="54" t="s">
        <v>158</v>
      </c>
      <c r="C177" s="19">
        <f>C139</f>
        <v>208</v>
      </c>
      <c r="D177" s="19">
        <f t="shared" ref="D177:H177" si="109">D139</f>
        <v>-28</v>
      </c>
      <c r="E177" s="19">
        <f t="shared" si="109"/>
        <v>25</v>
      </c>
      <c r="F177" s="19">
        <f t="shared" si="109"/>
        <v>590</v>
      </c>
      <c r="G177" s="19">
        <f t="shared" si="109"/>
        <v>24</v>
      </c>
      <c r="H177" s="19">
        <f t="shared" si="109"/>
        <v>0</v>
      </c>
      <c r="I177" s="19">
        <f t="shared" si="104"/>
        <v>819</v>
      </c>
    </row>
    <row r="178" spans="1:9" x14ac:dyDescent="0.25">
      <c r="B178" s="54" t="s">
        <v>159</v>
      </c>
      <c r="C178" s="54">
        <f t="shared" ref="C178:H178" si="110">C140</f>
        <v>88</v>
      </c>
      <c r="D178" s="54">
        <f t="shared" si="110"/>
        <v>5014</v>
      </c>
      <c r="E178" s="54">
        <f t="shared" si="110"/>
        <v>0</v>
      </c>
      <c r="F178" s="54">
        <f t="shared" si="110"/>
        <v>1875</v>
      </c>
      <c r="G178" s="54">
        <f t="shared" si="110"/>
        <v>18</v>
      </c>
      <c r="H178" s="54">
        <f t="shared" si="110"/>
        <v>0</v>
      </c>
      <c r="I178" s="54">
        <f t="shared" si="104"/>
        <v>6995</v>
      </c>
    </row>
    <row r="179" spans="1:9" x14ac:dyDescent="0.25">
      <c r="B179" s="54" t="s">
        <v>332</v>
      </c>
      <c r="C179" s="80">
        <f t="shared" ref="C179:H180" si="111">C151</f>
        <v>-1455</v>
      </c>
      <c r="D179" s="80">
        <f t="shared" si="111"/>
        <v>-7126</v>
      </c>
      <c r="E179" s="80">
        <f t="shared" si="111"/>
        <v>-1313</v>
      </c>
      <c r="F179" s="80">
        <f t="shared" si="111"/>
        <v>-1927</v>
      </c>
      <c r="G179" s="80">
        <f t="shared" si="111"/>
        <v>-152</v>
      </c>
      <c r="H179" s="80">
        <f t="shared" si="111"/>
        <v>-1351</v>
      </c>
      <c r="I179" s="19">
        <f t="shared" si="104"/>
        <v>-13324</v>
      </c>
    </row>
    <row r="180" spans="1:9" x14ac:dyDescent="0.25">
      <c r="B180" s="19" t="s">
        <v>307</v>
      </c>
      <c r="C180" s="19">
        <f>C152</f>
        <v>-1960</v>
      </c>
      <c r="D180" s="19">
        <f t="shared" si="111"/>
        <v>-1959</v>
      </c>
      <c r="E180" s="19">
        <f t="shared" si="111"/>
        <v>-1958</v>
      </c>
      <c r="F180" s="19">
        <f t="shared" si="111"/>
        <v>-1953</v>
      </c>
      <c r="G180" s="19">
        <f t="shared" si="111"/>
        <v>-3183</v>
      </c>
      <c r="H180" s="19">
        <f t="shared" si="111"/>
        <v>-2888</v>
      </c>
      <c r="I180" s="19">
        <f t="shared" si="104"/>
        <v>-13901</v>
      </c>
    </row>
    <row r="181" spans="1:9" x14ac:dyDescent="0.25">
      <c r="B181" s="54" t="s">
        <v>333</v>
      </c>
      <c r="C181" s="19">
        <f>C182-SUM(C174:C180)</f>
        <v>-358</v>
      </c>
      <c r="D181" s="19">
        <f t="shared" ref="D181:H181" si="112">D182-SUM(D174:D180)</f>
        <v>-258</v>
      </c>
      <c r="E181" s="19">
        <f t="shared" si="112"/>
        <v>51</v>
      </c>
      <c r="F181" s="19">
        <f t="shared" si="112"/>
        <v>-26</v>
      </c>
      <c r="G181" s="19">
        <f t="shared" si="112"/>
        <v>-136</v>
      </c>
      <c r="H181" s="19">
        <f t="shared" si="112"/>
        <v>160</v>
      </c>
      <c r="I181" s="19">
        <f t="shared" si="104"/>
        <v>-567</v>
      </c>
    </row>
    <row r="182" spans="1:9" ht="15.75" thickBot="1" x14ac:dyDescent="0.3">
      <c r="B182" s="19" t="s">
        <v>334</v>
      </c>
      <c r="C182" s="74" cm="1">
        <f t="array" ref="C182:H182">C156:H156</f>
        <v>-2405</v>
      </c>
      <c r="D182" s="74">
        <v>28</v>
      </c>
      <c r="E182" s="74">
        <v>1138</v>
      </c>
      <c r="F182" s="74">
        <v>1144</v>
      </c>
      <c r="G182" s="74">
        <v>-633</v>
      </c>
      <c r="H182" s="74">
        <v>-2486</v>
      </c>
      <c r="I182" s="87">
        <f t="shared" si="104"/>
        <v>-3214</v>
      </c>
    </row>
    <row r="183" spans="1:9" ht="15.75" thickTop="1" x14ac:dyDescent="0.25"/>
    <row r="185" spans="1:9" x14ac:dyDescent="0.25">
      <c r="A185" s="58"/>
    </row>
    <row r="186" spans="1:9" x14ac:dyDescent="0.25">
      <c r="B186" s="19" t="s">
        <v>325</v>
      </c>
      <c r="C186" s="60">
        <f>C116</f>
        <v>3952</v>
      </c>
      <c r="D186" s="60">
        <f t="shared" ref="D186:H186" si="113">D116</f>
        <v>4958</v>
      </c>
      <c r="E186" s="60">
        <f t="shared" si="113"/>
        <v>4471</v>
      </c>
      <c r="F186" s="60">
        <f t="shared" si="113"/>
        <v>3785</v>
      </c>
      <c r="G186" s="60">
        <f t="shared" si="113"/>
        <v>4637</v>
      </c>
      <c r="H186" s="60">
        <f t="shared" si="113"/>
        <v>3865</v>
      </c>
      <c r="I186" s="60"/>
    </row>
    <row r="187" spans="1:9" x14ac:dyDescent="0.25">
      <c r="B187" s="19" t="s">
        <v>329</v>
      </c>
      <c r="C187" s="19">
        <f>C174</f>
        <v>1553</v>
      </c>
      <c r="D187" s="19">
        <f t="shared" ref="D187:H187" si="114">D174</f>
        <v>4459</v>
      </c>
      <c r="E187" s="19">
        <f t="shared" si="114"/>
        <v>4333</v>
      </c>
      <c r="F187" s="19">
        <f t="shared" si="114"/>
        <v>2784</v>
      </c>
      <c r="G187" s="19">
        <f t="shared" si="114"/>
        <v>1748</v>
      </c>
      <c r="H187" s="19">
        <f t="shared" si="114"/>
        <v>-693</v>
      </c>
    </row>
    <row r="188" spans="1:9" x14ac:dyDescent="0.25">
      <c r="B188" s="19" t="s">
        <v>335</v>
      </c>
      <c r="C188" s="19">
        <f t="shared" ref="C188:H188" si="115">C187+(C70*0.75)</f>
        <v>2243.75</v>
      </c>
      <c r="D188" s="19">
        <f t="shared" si="115"/>
        <v>5994.25</v>
      </c>
      <c r="E188" s="19">
        <f t="shared" si="115"/>
        <v>5378.5</v>
      </c>
      <c r="F188" s="19">
        <f t="shared" si="115"/>
        <v>3804.75</v>
      </c>
      <c r="G188" s="19">
        <f t="shared" si="115"/>
        <v>2711</v>
      </c>
      <c r="H188" s="19">
        <f t="shared" si="115"/>
        <v>232.5</v>
      </c>
    </row>
    <row r="189" spans="1:9" x14ac:dyDescent="0.25">
      <c r="B189" s="19" t="s">
        <v>336</v>
      </c>
      <c r="C189" s="60">
        <f>C187+C179</f>
        <v>98</v>
      </c>
      <c r="D189" s="60">
        <f t="shared" ref="D189:H189" si="116">D187+D179</f>
        <v>-2667</v>
      </c>
      <c r="E189" s="60">
        <f t="shared" si="116"/>
        <v>3020</v>
      </c>
      <c r="F189" s="60">
        <f t="shared" si="116"/>
        <v>857</v>
      </c>
      <c r="G189" s="60">
        <f t="shared" si="116"/>
        <v>1596</v>
      </c>
      <c r="H189" s="60">
        <f t="shared" si="116"/>
        <v>-2044</v>
      </c>
      <c r="I189" s="60"/>
    </row>
    <row r="191" spans="1:9" x14ac:dyDescent="0.25">
      <c r="B191" s="19" t="s">
        <v>337</v>
      </c>
      <c r="C191" s="92">
        <f>-C173/C104</f>
        <v>0.98177920685959275</v>
      </c>
      <c r="D191" s="92">
        <f t="shared" ref="D191:G191" si="117">-D173/D104</f>
        <v>0.99450549450549453</v>
      </c>
      <c r="E191" s="92">
        <f t="shared" si="117"/>
        <v>0.61506707946336425</v>
      </c>
      <c r="F191" s="92">
        <f t="shared" si="117"/>
        <v>0.77263581488933597</v>
      </c>
      <c r="G191" s="92">
        <f t="shared" si="117"/>
        <v>0.84028484231943035</v>
      </c>
      <c r="H191" s="92">
        <f>-H173/H104</f>
        <v>1.1580989330746847</v>
      </c>
      <c r="I191" s="92"/>
    </row>
    <row r="192" spans="1:9" x14ac:dyDescent="0.25">
      <c r="B192" s="19" t="s">
        <v>338</v>
      </c>
      <c r="C192" s="92">
        <f t="shared" ref="C192:H192" si="118">C14/C104</f>
        <v>55.39228295819936</v>
      </c>
      <c r="D192" s="92">
        <f t="shared" si="118"/>
        <v>57.260439560439558</v>
      </c>
      <c r="E192" s="92">
        <f t="shared" si="118"/>
        <v>54.484004127966976</v>
      </c>
      <c r="F192" s="92">
        <f t="shared" si="118"/>
        <v>54.017102615694164</v>
      </c>
      <c r="G192" s="92">
        <f t="shared" si="118"/>
        <v>53.892166836215665</v>
      </c>
      <c r="H192" s="92">
        <f t="shared" si="118"/>
        <v>64.562560620756543</v>
      </c>
      <c r="I192" s="92"/>
    </row>
    <row r="193" spans="2:9" x14ac:dyDescent="0.25">
      <c r="B193" s="19" t="s">
        <v>339</v>
      </c>
      <c r="C193" s="92">
        <f t="shared" ref="C193:H193" si="119">-C16/C104</f>
        <v>4.514469453376206</v>
      </c>
      <c r="D193" s="92">
        <f t="shared" si="119"/>
        <v>4.2505494505494505</v>
      </c>
      <c r="E193" s="92">
        <f t="shared" si="119"/>
        <v>3.6769865841073273</v>
      </c>
      <c r="F193" s="92">
        <f t="shared" si="119"/>
        <v>3.2062374245472838</v>
      </c>
      <c r="G193" s="92">
        <f t="shared" si="119"/>
        <v>2.6286876907426246</v>
      </c>
      <c r="H193" s="92">
        <f t="shared" si="119"/>
        <v>2.0261881668283221</v>
      </c>
      <c r="I193" s="92"/>
    </row>
    <row r="194" spans="2:9" x14ac:dyDescent="0.25">
      <c r="B194" s="19" t="s">
        <v>340</v>
      </c>
      <c r="C194" s="92">
        <f>C192-C193</f>
        <v>50.877813504823152</v>
      </c>
      <c r="D194" s="92">
        <f t="shared" ref="D194:H194" si="120">D192-D193</f>
        <v>53.009890109890108</v>
      </c>
      <c r="E194" s="92">
        <f t="shared" si="120"/>
        <v>50.807017543859651</v>
      </c>
      <c r="F194" s="92">
        <f t="shared" si="120"/>
        <v>50.810865191146881</v>
      </c>
      <c r="G194" s="92">
        <f t="shared" si="120"/>
        <v>51.263479145473042</v>
      </c>
      <c r="H194" s="92">
        <f t="shared" si="120"/>
        <v>62.536372453928223</v>
      </c>
      <c r="I194" s="92"/>
    </row>
    <row r="195" spans="2:9" x14ac:dyDescent="0.25">
      <c r="B195" s="19" t="s">
        <v>341</v>
      </c>
      <c r="C195" s="83">
        <f>C193/C192</f>
        <v>8.1499970975793812E-2</v>
      </c>
      <c r="D195" s="83">
        <f t="shared" ref="D195:H195" si="121">D193/D192</f>
        <v>7.423186903870882E-2</v>
      </c>
      <c r="E195" s="83">
        <f t="shared" si="121"/>
        <v>6.7487451463206741E-2</v>
      </c>
      <c r="F195" s="83">
        <f t="shared" si="121"/>
        <v>5.9355968189521914E-2</v>
      </c>
      <c r="G195" s="83">
        <f t="shared" si="121"/>
        <v>4.8776804590758081E-2</v>
      </c>
      <c r="H195" s="83">
        <f t="shared" si="121"/>
        <v>3.1383330328706209E-2</v>
      </c>
      <c r="I195" s="83"/>
    </row>
    <row r="196" spans="2:9" x14ac:dyDescent="0.25">
      <c r="B196" s="19" t="s">
        <v>342</v>
      </c>
      <c r="C196" s="58" t="s">
        <v>343</v>
      </c>
      <c r="D196" s="58" t="s">
        <v>343</v>
      </c>
      <c r="E196" s="58" t="s">
        <v>343</v>
      </c>
      <c r="F196" s="58" t="s">
        <v>343</v>
      </c>
      <c r="G196" s="58" t="s">
        <v>343</v>
      </c>
      <c r="H196" s="58" t="s">
        <v>343</v>
      </c>
      <c r="I196" s="58"/>
    </row>
    <row r="198" spans="2:9" x14ac:dyDescent="0.25">
      <c r="B198" s="19" t="s">
        <v>344</v>
      </c>
    </row>
    <row r="199" spans="2:9" x14ac:dyDescent="0.25">
      <c r="B199" s="19" t="s">
        <v>345</v>
      </c>
    </row>
    <row r="200" spans="2:9" x14ac:dyDescent="0.25">
      <c r="B200" s="19" t="s">
        <v>346</v>
      </c>
    </row>
    <row r="201" spans="2:9" x14ac:dyDescent="0.25">
      <c r="B201" s="19" t="s">
        <v>347</v>
      </c>
    </row>
    <row r="202" spans="2:9" x14ac:dyDescent="0.25">
      <c r="B202" s="19" t="s">
        <v>348</v>
      </c>
    </row>
    <row r="203" spans="2:9" x14ac:dyDescent="0.25">
      <c r="B203" s="19" t="s">
        <v>349</v>
      </c>
    </row>
    <row r="204" spans="2:9" x14ac:dyDescent="0.25">
      <c r="B204" s="19" t="s">
        <v>350</v>
      </c>
    </row>
    <row r="205" spans="2:9" x14ac:dyDescent="0.25">
      <c r="B205" s="19" t="s">
        <v>351</v>
      </c>
    </row>
    <row r="206" spans="2:9" x14ac:dyDescent="0.25">
      <c r="B206" s="19" t="s">
        <v>352</v>
      </c>
    </row>
    <row r="207" spans="2:9" x14ac:dyDescent="0.25">
      <c r="B207" s="19" t="s">
        <v>353</v>
      </c>
    </row>
    <row r="209" spans="1:8" x14ac:dyDescent="0.25">
      <c r="B209" s="19" t="s">
        <v>354</v>
      </c>
    </row>
    <row r="210" spans="1:8" x14ac:dyDescent="0.25">
      <c r="B210" s="19" t="s">
        <v>355</v>
      </c>
    </row>
    <row r="211" spans="1:8" x14ac:dyDescent="0.25">
      <c r="B211" s="19" t="s">
        <v>356</v>
      </c>
    </row>
    <row r="213" spans="1:8" x14ac:dyDescent="0.25">
      <c r="A213" s="53"/>
      <c r="B213" s="75" t="str">
        <f>B1</f>
        <v>Kraft Heinz Company</v>
      </c>
      <c r="C213" s="75" t="str">
        <f>C1</f>
        <v>RECURRING</v>
      </c>
      <c r="D213" s="75"/>
      <c r="E213" s="75"/>
      <c r="F213" s="75"/>
      <c r="G213" s="75"/>
      <c r="H213" s="75"/>
    </row>
    <row r="214" spans="1:8" x14ac:dyDescent="0.25">
      <c r="A214" s="53"/>
      <c r="B214" s="75" t="s">
        <v>357</v>
      </c>
      <c r="C214" s="75"/>
      <c r="D214" s="75"/>
      <c r="E214" s="75"/>
      <c r="F214" s="75"/>
      <c r="G214" s="75"/>
      <c r="H214" s="75"/>
    </row>
    <row r="215" spans="1:8" x14ac:dyDescent="0.25">
      <c r="A215" s="53"/>
      <c r="B215" s="75" t="str">
        <f>B3</f>
        <v>in millions except per share data</v>
      </c>
      <c r="C215" s="75"/>
      <c r="D215" s="75"/>
      <c r="E215" s="75"/>
      <c r="F215" s="75"/>
      <c r="G215" s="75"/>
      <c r="H215" s="75"/>
    </row>
    <row r="216" spans="1:8" ht="15.75" thickBot="1" x14ac:dyDescent="0.3">
      <c r="A216" s="53"/>
      <c r="B216" s="75" t="str">
        <f>B4</f>
        <v>Fiscal year ended 12/31:</v>
      </c>
      <c r="C216" s="69">
        <f>C167</f>
        <v>2022</v>
      </c>
      <c r="D216" s="69">
        <f t="shared" ref="D216:H216" si="122">D167</f>
        <v>2021</v>
      </c>
      <c r="E216" s="69">
        <f t="shared" si="122"/>
        <v>2020</v>
      </c>
      <c r="F216" s="69">
        <f t="shared" si="122"/>
        <v>2019</v>
      </c>
      <c r="G216" s="69">
        <f t="shared" si="122"/>
        <v>2018</v>
      </c>
      <c r="H216" s="69">
        <f t="shared" si="122"/>
        <v>2017</v>
      </c>
    </row>
    <row r="217" spans="1:8" x14ac:dyDescent="0.25">
      <c r="B217" s="92" t="s">
        <v>254</v>
      </c>
      <c r="C217" s="92">
        <f t="shared" ref="C217:H217" si="123">C11-C28</f>
        <v>-1131</v>
      </c>
      <c r="D217" s="19">
        <f t="shared" si="123"/>
        <v>-70</v>
      </c>
      <c r="E217" s="19">
        <f t="shared" si="123"/>
        <v>2761</v>
      </c>
      <c r="F217" s="19">
        <f t="shared" si="123"/>
        <v>222</v>
      </c>
      <c r="G217" s="19">
        <f t="shared" si="123"/>
        <v>1572</v>
      </c>
      <c r="H217" s="19">
        <f t="shared" si="123"/>
        <v>-2953</v>
      </c>
    </row>
    <row r="218" spans="1:8" x14ac:dyDescent="0.25">
      <c r="B218" s="92" t="s">
        <v>358</v>
      </c>
      <c r="C218" s="92">
        <f t="shared" ref="C218:H218" si="124">C217+C23</f>
        <v>-294</v>
      </c>
      <c r="D218" s="19">
        <f t="shared" si="124"/>
        <v>684</v>
      </c>
      <c r="E218" s="19">
        <f t="shared" si="124"/>
        <v>2997</v>
      </c>
      <c r="F218" s="19">
        <f t="shared" si="124"/>
        <v>1250</v>
      </c>
      <c r="G218" s="19">
        <f t="shared" si="124"/>
        <v>1970</v>
      </c>
      <c r="H218" s="19">
        <f t="shared" si="124"/>
        <v>242</v>
      </c>
    </row>
    <row r="219" spans="1:8" x14ac:dyDescent="0.25">
      <c r="B219" s="92" t="s">
        <v>359</v>
      </c>
      <c r="C219" s="92">
        <f t="shared" ref="C219:H219" si="125">C218-C6-C7</f>
        <v>-1334</v>
      </c>
      <c r="D219" s="19">
        <f t="shared" si="125"/>
        <v>-2761</v>
      </c>
      <c r="E219" s="19">
        <f t="shared" si="125"/>
        <v>-420</v>
      </c>
      <c r="F219" s="19">
        <f t="shared" si="125"/>
        <v>-1029</v>
      </c>
      <c r="G219" s="19">
        <f t="shared" si="125"/>
        <v>840</v>
      </c>
      <c r="H219" s="19">
        <f t="shared" si="125"/>
        <v>-1387</v>
      </c>
    </row>
    <row r="220" spans="1:8" x14ac:dyDescent="0.25">
      <c r="B220" s="92"/>
      <c r="C220" s="92"/>
    </row>
    <row r="221" spans="1:8" x14ac:dyDescent="0.25">
      <c r="B221" s="92" t="s">
        <v>360</v>
      </c>
      <c r="C221" s="92">
        <f t="shared" ref="C221:H221" si="126">C11/C28</f>
        <v>0.87472308373947716</v>
      </c>
      <c r="D221" s="92">
        <f t="shared" si="126"/>
        <v>0.99227714033539272</v>
      </c>
      <c r="E221" s="92">
        <f t="shared" si="126"/>
        <v>1.342513335814415</v>
      </c>
      <c r="F221" s="92">
        <f t="shared" si="126"/>
        <v>1.0281904761904761</v>
      </c>
      <c r="G221" s="92">
        <f t="shared" si="126"/>
        <v>1.2095161935225909</v>
      </c>
      <c r="H221" s="92">
        <f t="shared" si="126"/>
        <v>0.70917864880835135</v>
      </c>
    </row>
    <row r="222" spans="1:8" x14ac:dyDescent="0.25">
      <c r="B222" s="92" t="s">
        <v>361</v>
      </c>
      <c r="C222" s="92">
        <f t="shared" ref="C222:H222" si="127">SUM(C6:C8)/C28</f>
        <v>0.3500221533008418</v>
      </c>
      <c r="D222" s="92">
        <f t="shared" si="127"/>
        <v>0.59598411297440423</v>
      </c>
      <c r="E222" s="92">
        <f t="shared" si="127"/>
        <v>0.67981639995037835</v>
      </c>
      <c r="F222" s="92">
        <f t="shared" si="127"/>
        <v>0.53993650793650794</v>
      </c>
      <c r="G222" s="92">
        <f t="shared" si="127"/>
        <v>0.43435958949753434</v>
      </c>
      <c r="H222" s="92">
        <f t="shared" si="127"/>
        <v>0.25113255859759703</v>
      </c>
    </row>
    <row r="223" spans="1:8" x14ac:dyDescent="0.25">
      <c r="B223" s="92" t="s">
        <v>362</v>
      </c>
      <c r="C223" s="92">
        <f t="shared" ref="C223:H223" si="128">SUM(C6:C7)/C28</f>
        <v>0.11519716437749225</v>
      </c>
      <c r="D223" s="92">
        <f t="shared" si="128"/>
        <v>0.38007502206531335</v>
      </c>
      <c r="E223" s="92">
        <f t="shared" si="128"/>
        <v>0.423892817268329</v>
      </c>
      <c r="F223" s="92">
        <f t="shared" si="128"/>
        <v>0.28939682539682537</v>
      </c>
      <c r="G223" s="92">
        <f t="shared" si="128"/>
        <v>0.15060642409702785</v>
      </c>
      <c r="H223" s="92">
        <f t="shared" si="128"/>
        <v>0.16042938743352372</v>
      </c>
    </row>
    <row r="224" spans="1:8" x14ac:dyDescent="0.25">
      <c r="B224" s="92"/>
      <c r="C224" s="92"/>
    </row>
    <row r="225" spans="2:8" x14ac:dyDescent="0.25">
      <c r="B225" s="92" t="s">
        <v>363</v>
      </c>
      <c r="C225" s="92"/>
    </row>
    <row r="226" spans="2:8" x14ac:dyDescent="0.25">
      <c r="B226" s="93" t="s">
        <v>364</v>
      </c>
      <c r="C226" s="92">
        <f t="shared" ref="C226:H227" si="129">C60/AVERAGE(C8:D8)</f>
        <v>12.992396369879813</v>
      </c>
      <c r="D226" s="92">
        <f t="shared" si="129"/>
        <v>12.956218905472637</v>
      </c>
      <c r="E226" s="92">
        <f t="shared" si="129"/>
        <v>12.975718533201189</v>
      </c>
      <c r="F226" s="92">
        <f t="shared" si="129"/>
        <v>12.177961969770843</v>
      </c>
      <c r="G226" s="92">
        <f t="shared" si="129"/>
        <v>17.224918032786885</v>
      </c>
      <c r="H226" s="92">
        <f t="shared" si="129"/>
        <v>28.312703583061889</v>
      </c>
    </row>
    <row r="227" spans="2:8" x14ac:dyDescent="0.25">
      <c r="B227" s="93" t="s">
        <v>365</v>
      </c>
      <c r="C227" s="92">
        <f t="shared" si="129"/>
        <v>5.7564263322884015</v>
      </c>
      <c r="D227" s="92">
        <f t="shared" si="129"/>
        <v>6.5720234715123986</v>
      </c>
      <c r="E227" s="92">
        <f t="shared" si="129"/>
        <v>6.4485308056872039</v>
      </c>
      <c r="F227" s="92">
        <f t="shared" si="129"/>
        <v>6.2472160356347439</v>
      </c>
      <c r="G227" s="92">
        <f t="shared" si="129"/>
        <v>6.3928505620047913</v>
      </c>
      <c r="H227" s="92">
        <f t="shared" si="129"/>
        <v>6.1749999999999998</v>
      </c>
    </row>
    <row r="228" spans="2:8" x14ac:dyDescent="0.25">
      <c r="B228" s="93" t="s">
        <v>366</v>
      </c>
      <c r="C228" s="92">
        <f t="shared" ref="C228:H228" si="130">C243/AVERAGE(C24:D24)</f>
        <v>4.0587438808457454</v>
      </c>
      <c r="D228" s="92">
        <f t="shared" si="130"/>
        <v>3.8652975598984209</v>
      </c>
      <c r="E228" s="92">
        <f t="shared" si="130"/>
        <v>4.1548091970627183</v>
      </c>
      <c r="F228" s="92">
        <f t="shared" si="130"/>
        <v>4.1949485041687105</v>
      </c>
      <c r="G228" s="92">
        <f t="shared" si="130"/>
        <v>4.1334116265413972</v>
      </c>
      <c r="H228" s="92">
        <f t="shared" si="130"/>
        <v>3.9612563044475011</v>
      </c>
    </row>
    <row r="229" spans="2:8" x14ac:dyDescent="0.25">
      <c r="B229" s="92"/>
      <c r="C229" s="92"/>
      <c r="D229" s="92"/>
      <c r="E229" s="92"/>
      <c r="F229" s="92"/>
      <c r="G229" s="92"/>
    </row>
    <row r="230" spans="2:8" x14ac:dyDescent="0.25">
      <c r="B230" s="92" t="s">
        <v>367</v>
      </c>
      <c r="C230" s="92"/>
      <c r="D230" s="92"/>
      <c r="E230" s="92"/>
      <c r="F230" s="92"/>
      <c r="G230" s="92"/>
    </row>
    <row r="231" spans="2:8" x14ac:dyDescent="0.25">
      <c r="B231" s="94" t="s">
        <v>368</v>
      </c>
      <c r="C231" s="92">
        <f>360/C226</f>
        <v>27.708514253350955</v>
      </c>
      <c r="D231" s="92">
        <f t="shared" ref="D231:H232" si="131">360/D226</f>
        <v>27.78588434068044</v>
      </c>
      <c r="E231" s="92">
        <f t="shared" si="131"/>
        <v>27.744128317739165</v>
      </c>
      <c r="F231" s="92">
        <f t="shared" si="131"/>
        <v>29.561596668935422</v>
      </c>
      <c r="G231" s="92">
        <f t="shared" si="131"/>
        <v>20.899954317039743</v>
      </c>
      <c r="H231" s="92">
        <f t="shared" si="131"/>
        <v>12.715140358950759</v>
      </c>
    </row>
    <row r="232" spans="2:8" x14ac:dyDescent="0.25">
      <c r="B232" s="94" t="s">
        <v>369</v>
      </c>
      <c r="C232" s="92">
        <f>360/C227</f>
        <v>62.53880084953439</v>
      </c>
      <c r="D232" s="92">
        <f t="shared" si="131"/>
        <v>54.777649769585253</v>
      </c>
      <c r="E232" s="92">
        <f t="shared" si="131"/>
        <v>55.826669802445906</v>
      </c>
      <c r="F232" s="92">
        <f t="shared" si="131"/>
        <v>57.62566844919786</v>
      </c>
      <c r="G232" s="92">
        <f t="shared" si="131"/>
        <v>56.312907130916003</v>
      </c>
      <c r="H232" s="92">
        <f t="shared" si="131"/>
        <v>58.299595141700408</v>
      </c>
    </row>
    <row r="233" spans="2:8" x14ac:dyDescent="0.25">
      <c r="B233" s="93" t="s">
        <v>370</v>
      </c>
      <c r="C233" s="95">
        <f>C231+C232</f>
        <v>90.247315102885352</v>
      </c>
      <c r="D233" s="95">
        <f t="shared" ref="D233:H233" si="132">D231+D232</f>
        <v>82.563534110265692</v>
      </c>
      <c r="E233" s="95">
        <f t="shared" si="132"/>
        <v>83.570798120185074</v>
      </c>
      <c r="F233" s="95">
        <f t="shared" si="132"/>
        <v>87.187265118133283</v>
      </c>
      <c r="G233" s="95">
        <f t="shared" si="132"/>
        <v>77.212861447955746</v>
      </c>
      <c r="H233" s="95">
        <f t="shared" si="132"/>
        <v>71.01473550065117</v>
      </c>
    </row>
    <row r="234" spans="2:8" x14ac:dyDescent="0.25">
      <c r="B234" s="94" t="s">
        <v>371</v>
      </c>
      <c r="C234" s="92">
        <f>360/C228</f>
        <v>88.697392732498457</v>
      </c>
      <c r="D234" s="92">
        <f t="shared" ref="D234:H234" si="133">360/D228</f>
        <v>93.136425959780624</v>
      </c>
      <c r="E234" s="92">
        <f t="shared" si="133"/>
        <v>86.646578200150657</v>
      </c>
      <c r="F234" s="92">
        <f t="shared" si="133"/>
        <v>85.817501607529081</v>
      </c>
      <c r="G234" s="92">
        <f t="shared" si="133"/>
        <v>87.095124445959783</v>
      </c>
      <c r="H234" s="92">
        <f t="shared" si="133"/>
        <v>90.880259274263551</v>
      </c>
    </row>
    <row r="235" spans="2:8" ht="15.75" thickBot="1" x14ac:dyDescent="0.3">
      <c r="B235" s="93" t="s">
        <v>372</v>
      </c>
      <c r="C235" s="96">
        <f>C233-C234</f>
        <v>1.549922370386895</v>
      </c>
      <c r="D235" s="96">
        <f t="shared" ref="D235:H235" si="134">D233-D234</f>
        <v>-10.572891849514932</v>
      </c>
      <c r="E235" s="96">
        <f t="shared" si="134"/>
        <v>-3.0757800799655826</v>
      </c>
      <c r="F235" s="96">
        <f t="shared" si="134"/>
        <v>1.3697635106042014</v>
      </c>
      <c r="G235" s="96">
        <f t="shared" si="134"/>
        <v>-9.8822629980040375</v>
      </c>
      <c r="H235" s="96">
        <f t="shared" si="134"/>
        <v>-19.865523773612381</v>
      </c>
    </row>
    <row r="236" spans="2:8" ht="15.75" thickTop="1" x14ac:dyDescent="0.25">
      <c r="B236" s="92"/>
      <c r="C236" s="92"/>
    </row>
    <row r="237" spans="2:8" x14ac:dyDescent="0.25">
      <c r="B237" s="92" t="s">
        <v>373</v>
      </c>
      <c r="C237" s="92"/>
    </row>
    <row r="238" spans="2:8" x14ac:dyDescent="0.25">
      <c r="B238" s="93" t="s">
        <v>374</v>
      </c>
      <c r="C238" s="92">
        <f t="shared" ref="C238:H239" si="135">C8/(C60/365)</f>
        <v>29.216537662828017</v>
      </c>
      <c r="D238" s="92">
        <f t="shared" si="135"/>
        <v>27.428960909300361</v>
      </c>
      <c r="E238" s="92">
        <f t="shared" si="135"/>
        <v>28.756730952835596</v>
      </c>
      <c r="F238" s="92">
        <f t="shared" si="135"/>
        <v>28.83232573968051</v>
      </c>
      <c r="G238" s="92">
        <f t="shared" si="135"/>
        <v>29.582952641997871</v>
      </c>
      <c r="H238" s="92">
        <f t="shared" si="135"/>
        <v>12.891739530602852</v>
      </c>
    </row>
    <row r="239" spans="2:8" x14ac:dyDescent="0.25">
      <c r="B239" s="93" t="s">
        <v>375</v>
      </c>
      <c r="C239" s="92">
        <f t="shared" si="135"/>
        <v>72.570658389152101</v>
      </c>
      <c r="D239" s="92">
        <f t="shared" si="135"/>
        <v>57.378168202764982</v>
      </c>
      <c r="E239" s="92">
        <f t="shared" si="135"/>
        <v>54.810089369708372</v>
      </c>
      <c r="F239" s="92">
        <f t="shared" si="135"/>
        <v>59.011586452762927</v>
      </c>
      <c r="G239" s="92">
        <f t="shared" si="135"/>
        <v>56.116619588401456</v>
      </c>
      <c r="H239" s="92">
        <f t="shared" si="135"/>
        <v>59.109311740890682</v>
      </c>
    </row>
    <row r="240" spans="2:8" x14ac:dyDescent="0.25">
      <c r="B240" s="93" t="s">
        <v>376</v>
      </c>
      <c r="C240" s="92">
        <f t="shared" ref="C240:H240" si="136">C24/(C243/365)</f>
        <v>90.819133648121536</v>
      </c>
      <c r="D240" s="92">
        <f t="shared" si="136"/>
        <v>99.111345978062161</v>
      </c>
      <c r="E240" s="92">
        <f t="shared" si="136"/>
        <v>91.033203917250972</v>
      </c>
      <c r="F240" s="92">
        <f t="shared" si="136"/>
        <v>85.409189220786814</v>
      </c>
      <c r="G240" s="92">
        <f t="shared" si="136"/>
        <v>86.137345152858273</v>
      </c>
      <c r="H240" s="92">
        <f t="shared" si="136"/>
        <v>92.142485097517209</v>
      </c>
    </row>
    <row r="241" spans="1:8" x14ac:dyDescent="0.25">
      <c r="B241" s="92"/>
      <c r="C241" s="92"/>
    </row>
    <row r="242" spans="1:8" x14ac:dyDescent="0.25">
      <c r="B242" s="92" t="s">
        <v>377</v>
      </c>
      <c r="C242" s="97">
        <f t="shared" ref="C242:H242" si="137">C60+C118</f>
        <v>26257</v>
      </c>
      <c r="D242" s="60">
        <f t="shared" si="137"/>
        <v>26129</v>
      </c>
      <c r="E242" s="60">
        <f t="shared" si="137"/>
        <v>26159</v>
      </c>
      <c r="F242" s="60">
        <f t="shared" si="137"/>
        <v>25117</v>
      </c>
      <c r="G242" s="60">
        <f t="shared" si="137"/>
        <v>23988</v>
      </c>
      <c r="H242" s="60">
        <f t="shared" si="137"/>
        <v>23447</v>
      </c>
    </row>
    <row r="243" spans="1:8" x14ac:dyDescent="0.25">
      <c r="B243" s="92" t="s">
        <v>378</v>
      </c>
      <c r="C243" s="92">
        <f t="shared" ref="C243:H243" si="138">C61-C119</f>
        <v>19484</v>
      </c>
      <c r="D243" s="19">
        <f t="shared" si="138"/>
        <v>17504</v>
      </c>
      <c r="E243" s="19">
        <f t="shared" si="138"/>
        <v>17257</v>
      </c>
      <c r="F243" s="19">
        <f t="shared" si="138"/>
        <v>17107</v>
      </c>
      <c r="G243" s="19">
        <f t="shared" si="138"/>
        <v>17598</v>
      </c>
      <c r="H243" s="19">
        <f t="shared" si="138"/>
        <v>17279</v>
      </c>
    </row>
    <row r="244" spans="1:8" x14ac:dyDescent="0.25">
      <c r="B244" s="92" t="s">
        <v>298</v>
      </c>
      <c r="C244" s="92">
        <f>C243-C120</f>
        <v>19332</v>
      </c>
      <c r="D244" s="19">
        <f t="shared" ref="D244:H244" si="139">D243-D120</f>
        <v>17096</v>
      </c>
      <c r="E244" s="19">
        <f t="shared" si="139"/>
        <v>17050</v>
      </c>
      <c r="F244" s="19">
        <f t="shared" si="139"/>
        <v>17165</v>
      </c>
      <c r="G244" s="19">
        <f t="shared" si="139"/>
        <v>17621</v>
      </c>
      <c r="H244" s="19">
        <f t="shared" si="139"/>
        <v>16838</v>
      </c>
    </row>
    <row r="245" spans="1:8" x14ac:dyDescent="0.25">
      <c r="B245" s="92" t="s">
        <v>379</v>
      </c>
      <c r="C245" s="92">
        <f>C242-C123</f>
        <v>23788</v>
      </c>
      <c r="D245" s="19">
        <f t="shared" ref="D245:H245" si="140">D242-D123</f>
        <v>20765</v>
      </c>
      <c r="E245" s="19">
        <f t="shared" si="140"/>
        <v>21230</v>
      </c>
      <c r="F245" s="19">
        <f t="shared" si="140"/>
        <v>21565</v>
      </c>
      <c r="G245" s="19">
        <f t="shared" si="140"/>
        <v>21414</v>
      </c>
      <c r="H245" s="19">
        <f t="shared" si="140"/>
        <v>22946</v>
      </c>
    </row>
    <row r="246" spans="1:8" x14ac:dyDescent="0.25">
      <c r="B246" s="92" t="s">
        <v>380</v>
      </c>
      <c r="C246" s="92">
        <f>C242/365</f>
        <v>71.936986301369856</v>
      </c>
      <c r="D246" s="19">
        <f t="shared" ref="D246:H247" si="141">D242/365</f>
        <v>71.586301369863008</v>
      </c>
      <c r="E246" s="19">
        <f t="shared" si="141"/>
        <v>71.668493150684938</v>
      </c>
      <c r="F246" s="19">
        <f t="shared" si="141"/>
        <v>68.813698630136983</v>
      </c>
      <c r="G246" s="19">
        <f t="shared" si="141"/>
        <v>65.720547945205482</v>
      </c>
      <c r="H246" s="19">
        <f t="shared" si="141"/>
        <v>64.238356164383561</v>
      </c>
    </row>
    <row r="247" spans="1:8" x14ac:dyDescent="0.25">
      <c r="B247" s="92" t="s">
        <v>381</v>
      </c>
      <c r="C247" s="97">
        <f>C243/365</f>
        <v>53.38082191780822</v>
      </c>
      <c r="D247" s="60">
        <f t="shared" si="141"/>
        <v>47.956164383561642</v>
      </c>
      <c r="E247" s="60">
        <f t="shared" si="141"/>
        <v>47.279452054794518</v>
      </c>
      <c r="F247" s="60">
        <f t="shared" si="141"/>
        <v>46.868493150684934</v>
      </c>
      <c r="G247" s="60">
        <f t="shared" si="141"/>
        <v>48.213698630136989</v>
      </c>
      <c r="H247" s="60">
        <f t="shared" si="141"/>
        <v>47.339726027397262</v>
      </c>
    </row>
    <row r="249" spans="1:8" x14ac:dyDescent="0.25">
      <c r="A249" s="53"/>
      <c r="B249" s="66" t="str">
        <f>B1</f>
        <v>Kraft Heinz Company</v>
      </c>
      <c r="C249" s="75" t="str">
        <f>C1</f>
        <v>RECURRING</v>
      </c>
      <c r="D249" s="75"/>
      <c r="E249" s="75"/>
      <c r="F249" s="75"/>
      <c r="G249" s="75"/>
      <c r="H249" s="75"/>
    </row>
    <row r="250" spans="1:8" x14ac:dyDescent="0.25">
      <c r="A250" s="53"/>
      <c r="B250" s="75" t="s">
        <v>382</v>
      </c>
      <c r="C250" s="75"/>
      <c r="D250" s="75"/>
      <c r="E250" s="75"/>
      <c r="F250" s="75"/>
      <c r="G250" s="75"/>
      <c r="H250" s="75"/>
    </row>
    <row r="251" spans="1:8" x14ac:dyDescent="0.25">
      <c r="A251" s="53"/>
      <c r="B251" s="66" t="str">
        <f>B3</f>
        <v>in millions except per share data</v>
      </c>
      <c r="C251" s="75"/>
      <c r="D251" s="75"/>
      <c r="E251" s="75"/>
      <c r="F251" s="75"/>
      <c r="G251" s="75"/>
      <c r="H251" s="75"/>
    </row>
    <row r="252" spans="1:8" ht="15.75" thickBot="1" x14ac:dyDescent="0.3">
      <c r="B252" s="66" t="str">
        <f>B4</f>
        <v>Fiscal year ended 12/31:</v>
      </c>
      <c r="C252" s="69">
        <f>C216</f>
        <v>2022</v>
      </c>
      <c r="D252" s="69">
        <f t="shared" ref="D252:H252" si="142">D216</f>
        <v>2021</v>
      </c>
      <c r="E252" s="69">
        <f t="shared" si="142"/>
        <v>2020</v>
      </c>
      <c r="F252" s="69">
        <f t="shared" si="142"/>
        <v>2019</v>
      </c>
      <c r="G252" s="69">
        <f t="shared" si="142"/>
        <v>2018</v>
      </c>
      <c r="H252" s="69">
        <f t="shared" si="142"/>
        <v>2017</v>
      </c>
    </row>
    <row r="253" spans="1:8" x14ac:dyDescent="0.25">
      <c r="B253" s="92" t="s">
        <v>383</v>
      </c>
    </row>
    <row r="254" spans="1:8" x14ac:dyDescent="0.25">
      <c r="B254" s="94" t="s">
        <v>384</v>
      </c>
      <c r="C254" s="60">
        <f>C256-C255</f>
        <v>21613</v>
      </c>
      <c r="D254" s="60">
        <f t="shared" ref="D254:H254" si="143">D256-D255</f>
        <v>22131</v>
      </c>
      <c r="E254" s="60">
        <f t="shared" si="143"/>
        <v>21281</v>
      </c>
      <c r="F254" s="60">
        <f t="shared" si="143"/>
        <v>20457</v>
      </c>
      <c r="G254" s="60">
        <f t="shared" si="143"/>
        <v>20518</v>
      </c>
      <c r="H254" s="60">
        <f t="shared" si="143"/>
        <v>22519</v>
      </c>
    </row>
    <row r="255" spans="1:8" x14ac:dyDescent="0.25">
      <c r="B255" s="94" t="s">
        <v>385</v>
      </c>
      <c r="C255" s="63">
        <f t="shared" ref="C255:H255" si="144">C23+C29</f>
        <v>20070</v>
      </c>
      <c r="D255" s="63">
        <f t="shared" si="144"/>
        <v>21815</v>
      </c>
      <c r="E255" s="63">
        <f t="shared" si="144"/>
        <v>28306</v>
      </c>
      <c r="F255" s="63">
        <f t="shared" si="144"/>
        <v>29244</v>
      </c>
      <c r="G255" s="63">
        <f t="shared" si="144"/>
        <v>31168</v>
      </c>
      <c r="H255" s="63">
        <f t="shared" si="144"/>
        <v>31503</v>
      </c>
    </row>
    <row r="256" spans="1:8" x14ac:dyDescent="0.25">
      <c r="B256" s="93" t="s">
        <v>386</v>
      </c>
      <c r="C256" s="19">
        <f>C260-C259</f>
        <v>41683</v>
      </c>
      <c r="D256" s="19">
        <f t="shared" ref="D256:H256" si="145">D260-D259</f>
        <v>43946</v>
      </c>
      <c r="E256" s="19">
        <f t="shared" si="145"/>
        <v>49587</v>
      </c>
      <c r="F256" s="19">
        <f t="shared" si="145"/>
        <v>49701</v>
      </c>
      <c r="G256" s="19">
        <f t="shared" si="145"/>
        <v>51686</v>
      </c>
      <c r="H256" s="19">
        <f t="shared" si="145"/>
        <v>54022</v>
      </c>
    </row>
    <row r="257" spans="2:8" x14ac:dyDescent="0.25">
      <c r="B257" s="94" t="s">
        <v>387</v>
      </c>
      <c r="C257" s="19">
        <v>0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</row>
    <row r="258" spans="2:8" x14ac:dyDescent="0.25">
      <c r="B258" s="94" t="s">
        <v>35</v>
      </c>
      <c r="C258" s="63">
        <f>C259</f>
        <v>48830</v>
      </c>
      <c r="D258" s="63">
        <f t="shared" ref="D258:H258" si="146">D259</f>
        <v>49448</v>
      </c>
      <c r="E258" s="63">
        <f t="shared" si="146"/>
        <v>50243</v>
      </c>
      <c r="F258" s="63">
        <f t="shared" si="146"/>
        <v>51749</v>
      </c>
      <c r="G258" s="63">
        <f t="shared" si="146"/>
        <v>51775</v>
      </c>
      <c r="H258" s="63">
        <f t="shared" si="146"/>
        <v>66070</v>
      </c>
    </row>
    <row r="259" spans="2:8" x14ac:dyDescent="0.25">
      <c r="B259" s="93" t="s">
        <v>106</v>
      </c>
      <c r="C259" s="19">
        <f t="shared" ref="C259:H259" si="147">C34</f>
        <v>48830</v>
      </c>
      <c r="D259" s="19">
        <f t="shared" si="147"/>
        <v>49448</v>
      </c>
      <c r="E259" s="19">
        <f t="shared" si="147"/>
        <v>50243</v>
      </c>
      <c r="F259" s="19">
        <f t="shared" si="147"/>
        <v>51749</v>
      </c>
      <c r="G259" s="19">
        <f t="shared" si="147"/>
        <v>51775</v>
      </c>
      <c r="H259" s="19">
        <f t="shared" si="147"/>
        <v>66070</v>
      </c>
    </row>
    <row r="260" spans="2:8" ht="15.75" thickBot="1" x14ac:dyDescent="0.3">
      <c r="B260" s="93" t="s">
        <v>84</v>
      </c>
      <c r="C260" s="74">
        <f t="shared" ref="C260:H260" si="148">C21</f>
        <v>90513</v>
      </c>
      <c r="D260" s="74">
        <f t="shared" si="148"/>
        <v>93394</v>
      </c>
      <c r="E260" s="74">
        <f t="shared" si="148"/>
        <v>99830</v>
      </c>
      <c r="F260" s="74">
        <f t="shared" si="148"/>
        <v>101450</v>
      </c>
      <c r="G260" s="74">
        <f t="shared" si="148"/>
        <v>103461</v>
      </c>
      <c r="H260" s="74">
        <f t="shared" si="148"/>
        <v>120092</v>
      </c>
    </row>
    <row r="261" spans="2:8" ht="15.75" thickTop="1" x14ac:dyDescent="0.25">
      <c r="B261" s="92" t="s">
        <v>388</v>
      </c>
    </row>
    <row r="262" spans="2:8" x14ac:dyDescent="0.25">
      <c r="B262" s="94" t="s">
        <v>384</v>
      </c>
      <c r="C262" s="83">
        <f>C254/C260</f>
        <v>0.23878337918310077</v>
      </c>
      <c r="D262" s="83">
        <f t="shared" ref="D262:H262" si="149">D254/D260</f>
        <v>0.23696383065293275</v>
      </c>
      <c r="E262" s="83">
        <f t="shared" si="149"/>
        <v>0.21317239306821598</v>
      </c>
      <c r="F262" s="83">
        <f t="shared" si="149"/>
        <v>0.20164613109906357</v>
      </c>
      <c r="G262" s="83">
        <f t="shared" si="149"/>
        <v>0.19831627376499358</v>
      </c>
      <c r="H262" s="83">
        <f t="shared" si="149"/>
        <v>0.18751457216134296</v>
      </c>
    </row>
    <row r="263" spans="2:8" x14ac:dyDescent="0.25">
      <c r="B263" s="94" t="s">
        <v>385</v>
      </c>
      <c r="C263" s="84">
        <f>C255/C260</f>
        <v>0.22173610420602566</v>
      </c>
      <c r="D263" s="84">
        <f t="shared" ref="D263:H263" si="150">D255/D260</f>
        <v>0.23358031565196907</v>
      </c>
      <c r="E263" s="84">
        <f t="shared" si="150"/>
        <v>0.28354202143644197</v>
      </c>
      <c r="F263" s="84">
        <f t="shared" si="150"/>
        <v>0.28826022671266632</v>
      </c>
      <c r="G263" s="84">
        <f t="shared" si="150"/>
        <v>0.30125361247233257</v>
      </c>
      <c r="H263" s="84">
        <f t="shared" si="150"/>
        <v>0.26232388502148352</v>
      </c>
    </row>
    <row r="264" spans="2:8" x14ac:dyDescent="0.25">
      <c r="B264" s="93" t="s">
        <v>386</v>
      </c>
      <c r="C264" s="83">
        <f>C256/C260</f>
        <v>0.46051948338912641</v>
      </c>
      <c r="D264" s="83">
        <f t="shared" ref="D264:H264" si="151">D256/D260</f>
        <v>0.47054414630490182</v>
      </c>
      <c r="E264" s="83">
        <f t="shared" si="151"/>
        <v>0.49671441450465792</v>
      </c>
      <c r="F264" s="83">
        <f t="shared" si="151"/>
        <v>0.48990635781172992</v>
      </c>
      <c r="G264" s="83">
        <f t="shared" si="151"/>
        <v>0.49956988623732612</v>
      </c>
      <c r="H264" s="83">
        <f t="shared" si="151"/>
        <v>0.4498384571828265</v>
      </c>
    </row>
    <row r="265" spans="2:8" x14ac:dyDescent="0.25">
      <c r="B265" s="94" t="s">
        <v>387</v>
      </c>
      <c r="C265" s="83">
        <f>C257/C260</f>
        <v>0</v>
      </c>
      <c r="D265" s="83">
        <f t="shared" ref="D265:H265" si="152">D257/D260</f>
        <v>0</v>
      </c>
      <c r="E265" s="83">
        <f t="shared" si="152"/>
        <v>0</v>
      </c>
      <c r="F265" s="83">
        <f t="shared" si="152"/>
        <v>0</v>
      </c>
      <c r="G265" s="83">
        <f t="shared" si="152"/>
        <v>0</v>
      </c>
      <c r="H265" s="83">
        <f t="shared" si="152"/>
        <v>0</v>
      </c>
    </row>
    <row r="266" spans="2:8" x14ac:dyDescent="0.25">
      <c r="B266" s="94" t="s">
        <v>35</v>
      </c>
      <c r="C266" s="84">
        <f>C258/C260</f>
        <v>0.53948051661087359</v>
      </c>
      <c r="D266" s="84">
        <f t="shared" ref="D266:H266" si="153">D258/D260</f>
        <v>0.52945585369509818</v>
      </c>
      <c r="E266" s="84">
        <f t="shared" si="153"/>
        <v>0.50328558549534208</v>
      </c>
      <c r="F266" s="84">
        <f t="shared" si="153"/>
        <v>0.51009364218827014</v>
      </c>
      <c r="G266" s="84">
        <f t="shared" si="153"/>
        <v>0.50043011376267388</v>
      </c>
      <c r="H266" s="84">
        <f t="shared" si="153"/>
        <v>0.55016154281717355</v>
      </c>
    </row>
    <row r="267" spans="2:8" x14ac:dyDescent="0.25">
      <c r="B267" s="93" t="s">
        <v>106</v>
      </c>
      <c r="C267" s="83">
        <f>C259/C260</f>
        <v>0.53948051661087359</v>
      </c>
      <c r="D267" s="83">
        <f t="shared" ref="D267:H267" si="154">D259/D260</f>
        <v>0.52945585369509818</v>
      </c>
      <c r="E267" s="83">
        <f t="shared" si="154"/>
        <v>0.50328558549534208</v>
      </c>
      <c r="F267" s="83">
        <f t="shared" si="154"/>
        <v>0.51009364218827014</v>
      </c>
      <c r="G267" s="83">
        <f t="shared" si="154"/>
        <v>0.50043011376267388</v>
      </c>
      <c r="H267" s="83">
        <f t="shared" si="154"/>
        <v>0.55016154281717355</v>
      </c>
    </row>
    <row r="268" spans="2:8" ht="15.75" thickBot="1" x14ac:dyDescent="0.3">
      <c r="B268" s="93" t="s">
        <v>84</v>
      </c>
      <c r="C268" s="86">
        <f>C260/C260</f>
        <v>1</v>
      </c>
      <c r="D268" s="86">
        <f t="shared" ref="D268:H268" si="155">D260/D260</f>
        <v>1</v>
      </c>
      <c r="E268" s="86">
        <f t="shared" si="155"/>
        <v>1</v>
      </c>
      <c r="F268" s="86">
        <f t="shared" si="155"/>
        <v>1</v>
      </c>
      <c r="G268" s="86">
        <f t="shared" si="155"/>
        <v>1</v>
      </c>
      <c r="H268" s="86">
        <f t="shared" si="155"/>
        <v>1</v>
      </c>
    </row>
    <row r="269" spans="2:8" ht="15.75" thickTop="1" x14ac:dyDescent="0.25">
      <c r="B269" s="92" t="s">
        <v>389</v>
      </c>
    </row>
    <row r="270" spans="2:8" x14ac:dyDescent="0.25">
      <c r="B270" s="94" t="s">
        <v>385</v>
      </c>
      <c r="C270" s="60">
        <f>C255</f>
        <v>20070</v>
      </c>
      <c r="D270" s="60">
        <f t="shared" ref="D270:H270" si="156">D255</f>
        <v>21815</v>
      </c>
      <c r="E270" s="60">
        <f t="shared" si="156"/>
        <v>28306</v>
      </c>
      <c r="F270" s="60">
        <f t="shared" si="156"/>
        <v>29244</v>
      </c>
      <c r="G270" s="60">
        <f t="shared" si="156"/>
        <v>31168</v>
      </c>
      <c r="H270" s="60">
        <f t="shared" si="156"/>
        <v>31503</v>
      </c>
    </row>
    <row r="271" spans="2:8" x14ac:dyDescent="0.25">
      <c r="B271" s="94" t="s">
        <v>111</v>
      </c>
      <c r="C271" s="19">
        <f t="shared" ref="C271:H271" si="157">C41</f>
        <v>46709.25</v>
      </c>
      <c r="D271" s="19">
        <f t="shared" si="157"/>
        <v>48005.279999999999</v>
      </c>
      <c r="E271" s="19">
        <f t="shared" si="157"/>
        <v>44492.740000000005</v>
      </c>
      <c r="F271" s="19">
        <f t="shared" si="157"/>
        <v>30244.17</v>
      </c>
      <c r="G271" s="19">
        <f t="shared" si="157"/>
        <v>40491.799999999996</v>
      </c>
      <c r="H271" s="19">
        <f t="shared" si="157"/>
        <v>81843.66</v>
      </c>
    </row>
    <row r="272" spans="2:8" ht="15.75" thickBot="1" x14ac:dyDescent="0.3">
      <c r="B272" s="93" t="s">
        <v>390</v>
      </c>
      <c r="C272" s="74">
        <f>C270+C271</f>
        <v>66779.25</v>
      </c>
      <c r="D272" s="74">
        <f t="shared" ref="D272:H272" si="158">D270+D271</f>
        <v>69820.28</v>
      </c>
      <c r="E272" s="74">
        <f t="shared" si="158"/>
        <v>72798.740000000005</v>
      </c>
      <c r="F272" s="74">
        <f t="shared" si="158"/>
        <v>59488.17</v>
      </c>
      <c r="G272" s="74">
        <f t="shared" si="158"/>
        <v>71659.799999999988</v>
      </c>
      <c r="H272" s="74">
        <f t="shared" si="158"/>
        <v>113346.66</v>
      </c>
    </row>
    <row r="273" spans="1:8" ht="15.75" thickTop="1" x14ac:dyDescent="0.25">
      <c r="B273" s="92" t="s">
        <v>391</v>
      </c>
    </row>
    <row r="274" spans="1:8" x14ac:dyDescent="0.25">
      <c r="B274" s="94" t="s">
        <v>385</v>
      </c>
      <c r="C274" s="83">
        <f>C270/C272</f>
        <v>0.30054245892249465</v>
      </c>
      <c r="D274" s="83">
        <f t="shared" ref="D274:H274" si="159">D270/D272</f>
        <v>0.31244503745903052</v>
      </c>
      <c r="E274" s="83">
        <f t="shared" si="159"/>
        <v>0.3888254109892561</v>
      </c>
      <c r="F274" s="83">
        <f t="shared" si="159"/>
        <v>0.49159353868172445</v>
      </c>
      <c r="G274" s="83">
        <f t="shared" si="159"/>
        <v>0.43494399928551303</v>
      </c>
      <c r="H274" s="83">
        <f t="shared" si="159"/>
        <v>0.27793496517674188</v>
      </c>
    </row>
    <row r="275" spans="1:8" x14ac:dyDescent="0.25">
      <c r="B275" s="94" t="s">
        <v>111</v>
      </c>
      <c r="C275" s="83">
        <f>C271/C272</f>
        <v>0.69945754107750535</v>
      </c>
      <c r="D275" s="83">
        <f t="shared" ref="D275:H275" si="160">D271/D272</f>
        <v>0.68755496254096948</v>
      </c>
      <c r="E275" s="83">
        <f t="shared" si="160"/>
        <v>0.61117458901074384</v>
      </c>
      <c r="F275" s="83">
        <f t="shared" si="160"/>
        <v>0.50840646131827549</v>
      </c>
      <c r="G275" s="83">
        <f t="shared" si="160"/>
        <v>0.56505600071448714</v>
      </c>
      <c r="H275" s="83">
        <f t="shared" si="160"/>
        <v>0.72206503482325812</v>
      </c>
    </row>
    <row r="276" spans="1:8" ht="15.75" thickBot="1" x14ac:dyDescent="0.3">
      <c r="B276" s="93" t="s">
        <v>390</v>
      </c>
      <c r="C276" s="86">
        <f>C272/C272</f>
        <v>1</v>
      </c>
      <c r="D276" s="86">
        <f t="shared" ref="D276:H276" si="161">D272/D272</f>
        <v>1</v>
      </c>
      <c r="E276" s="86">
        <f t="shared" si="161"/>
        <v>1</v>
      </c>
      <c r="F276" s="86">
        <f t="shared" si="161"/>
        <v>1</v>
      </c>
      <c r="G276" s="86">
        <f t="shared" si="161"/>
        <v>1</v>
      </c>
      <c r="H276" s="86">
        <f t="shared" si="161"/>
        <v>1</v>
      </c>
    </row>
    <row r="277" spans="1:8" ht="15.75" thickTop="1" x14ac:dyDescent="0.25">
      <c r="B277" s="92"/>
    </row>
    <row r="278" spans="1:8" x14ac:dyDescent="0.25">
      <c r="B278" s="92" t="s">
        <v>392</v>
      </c>
      <c r="C278" s="98">
        <f>AVERAGE(C260:D260)/AVERAGE(C259:D259)</f>
        <v>1.8712936771200066</v>
      </c>
      <c r="D278" s="98">
        <f t="shared" ref="D278:G278" si="162">AVERAGE(D260:E260)/AVERAGE(D259:E259)</f>
        <v>1.938229128005537</v>
      </c>
      <c r="E278" s="98">
        <f t="shared" si="162"/>
        <v>1.9734881167150364</v>
      </c>
      <c r="F278" s="98">
        <f t="shared" si="162"/>
        <v>1.9793574436845562</v>
      </c>
      <c r="G278" s="98">
        <f t="shared" si="162"/>
        <v>1.8970087827230684</v>
      </c>
      <c r="H278" s="98"/>
    </row>
    <row r="279" spans="1:8" x14ac:dyDescent="0.25">
      <c r="B279" s="92" t="s">
        <v>393</v>
      </c>
      <c r="C279" s="98"/>
      <c r="D279" s="98"/>
      <c r="E279" s="98"/>
      <c r="F279" s="98"/>
      <c r="G279" s="98"/>
      <c r="H279" s="98"/>
    </row>
    <row r="280" spans="1:8" x14ac:dyDescent="0.25">
      <c r="B280" s="93" t="s">
        <v>394</v>
      </c>
      <c r="C280" s="98">
        <f t="shared" ref="C280:H280" si="163">C69/C70</f>
        <v>3.9457111834961998</v>
      </c>
      <c r="D280" s="98">
        <f t="shared" si="163"/>
        <v>1.6902784562774793</v>
      </c>
      <c r="E280" s="98">
        <f t="shared" si="163"/>
        <v>1.5265423242467719</v>
      </c>
      <c r="F280" s="98">
        <f t="shared" si="163"/>
        <v>2.2556943423952975</v>
      </c>
      <c r="G280" s="98">
        <f t="shared" si="163"/>
        <v>-7.9478193146417446</v>
      </c>
      <c r="H280" s="98">
        <f t="shared" si="163"/>
        <v>4.9084278768233389</v>
      </c>
    </row>
    <row r="281" spans="1:8" x14ac:dyDescent="0.25">
      <c r="B281" s="93" t="s">
        <v>395</v>
      </c>
      <c r="C281" s="98">
        <f t="shared" ref="C281:H281" si="164">(C69-C132)/(C70-C132)</f>
        <v>3.4798903107861059</v>
      </c>
      <c r="D281" s="98">
        <f t="shared" si="164"/>
        <v>1.6356275303643724</v>
      </c>
      <c r="E281" s="98">
        <f t="shared" si="164"/>
        <v>1.4684109763880024</v>
      </c>
      <c r="F281" s="98">
        <f t="shared" si="164"/>
        <v>2.1011597938144329</v>
      </c>
      <c r="G281" s="98">
        <f t="shared" si="164"/>
        <v>-6.7419137466307282</v>
      </c>
      <c r="H281" s="98">
        <f t="shared" si="164"/>
        <v>4.2631935047361296</v>
      </c>
    </row>
    <row r="282" spans="1:8" x14ac:dyDescent="0.25">
      <c r="B282" s="93" t="s">
        <v>396</v>
      </c>
      <c r="C282" s="98">
        <f>C255/C92</f>
        <v>3.7994697508865021</v>
      </c>
      <c r="D282" s="98">
        <f t="shared" ref="D282:H282" si="165">D255/D92</f>
        <v>3.9339975654839727</v>
      </c>
      <c r="E282" s="98">
        <f t="shared" si="165"/>
        <v>4.3854675032922765</v>
      </c>
      <c r="F282" s="98">
        <f t="shared" si="165"/>
        <v>4.6700734589587993</v>
      </c>
      <c r="G282" s="98">
        <f t="shared" si="165"/>
        <v>6.0785958069234516</v>
      </c>
      <c r="H282" s="98">
        <f t="shared" si="165"/>
        <v>21.336268201828648</v>
      </c>
    </row>
    <row r="283" spans="1:8" x14ac:dyDescent="0.25">
      <c r="B283" s="92"/>
      <c r="C283" s="98"/>
      <c r="D283" s="98"/>
      <c r="E283" s="98"/>
      <c r="F283" s="98"/>
      <c r="G283" s="98"/>
      <c r="H283" s="98"/>
    </row>
    <row r="284" spans="1:8" x14ac:dyDescent="0.25">
      <c r="B284" s="92" t="s">
        <v>397</v>
      </c>
      <c r="C284" s="99">
        <f t="shared" ref="C284:H284" si="166">-C38*C40</f>
        <v>686.34</v>
      </c>
      <c r="D284" s="99">
        <f t="shared" si="166"/>
        <v>431.41999999999996</v>
      </c>
      <c r="E284" s="99">
        <f t="shared" si="166"/>
        <v>181.9</v>
      </c>
      <c r="F284" s="99">
        <f t="shared" si="166"/>
        <v>74.31</v>
      </c>
      <c r="G284" s="99">
        <f t="shared" si="166"/>
        <v>132.76</v>
      </c>
      <c r="H284" s="99">
        <f t="shared" si="166"/>
        <v>134.28</v>
      </c>
    </row>
    <row r="286" spans="1:8" x14ac:dyDescent="0.25">
      <c r="A286" s="53"/>
      <c r="B286" s="66" t="s">
        <v>477</v>
      </c>
      <c r="C286" s="66" t="s">
        <v>419</v>
      </c>
      <c r="D286" s="66"/>
      <c r="E286" s="66"/>
      <c r="F286" s="66"/>
      <c r="G286" s="66"/>
      <c r="H286" s="66"/>
    </row>
    <row r="287" spans="1:8" x14ac:dyDescent="0.25">
      <c r="A287" s="53"/>
      <c r="B287" s="66" t="s">
        <v>478</v>
      </c>
      <c r="C287" s="66"/>
      <c r="D287" s="66"/>
      <c r="E287" s="66"/>
      <c r="F287" s="66"/>
      <c r="G287" s="66"/>
      <c r="H287" s="66"/>
    </row>
    <row r="288" spans="1:8" x14ac:dyDescent="0.25">
      <c r="A288" s="53"/>
      <c r="B288" s="66" t="s">
        <v>64</v>
      </c>
      <c r="C288" s="66"/>
      <c r="D288" s="66"/>
      <c r="E288" s="66"/>
      <c r="F288" s="66"/>
      <c r="G288" s="66"/>
      <c r="H288" s="66"/>
    </row>
    <row r="289" spans="1:11" x14ac:dyDescent="0.25">
      <c r="A289" s="53"/>
      <c r="B289" s="100" t="s">
        <v>475</v>
      </c>
      <c r="C289" s="124">
        <v>2022</v>
      </c>
      <c r="D289" s="124">
        <v>2021</v>
      </c>
      <c r="E289" s="124">
        <v>2020</v>
      </c>
      <c r="F289" s="124">
        <v>2019</v>
      </c>
      <c r="G289" s="124">
        <v>2018</v>
      </c>
      <c r="H289" s="124">
        <v>2017</v>
      </c>
    </row>
    <row r="290" spans="1:11" x14ac:dyDescent="0.25">
      <c r="B290" s="92" t="s">
        <v>403</v>
      </c>
    </row>
    <row r="291" spans="1:11" x14ac:dyDescent="0.25">
      <c r="B291" s="93" t="s">
        <v>404</v>
      </c>
      <c r="C291" s="109">
        <f t="shared" ref="C291:H291" si="167">C69/C60</f>
        <v>0.13720974136303568</v>
      </c>
      <c r="D291" s="109">
        <f t="shared" si="167"/>
        <v>0.13286229936256816</v>
      </c>
      <c r="E291" s="109">
        <f t="shared" si="167"/>
        <v>8.1267901470307422E-2</v>
      </c>
      <c r="F291" s="109">
        <f t="shared" si="167"/>
        <v>0.12291308003363094</v>
      </c>
      <c r="G291" s="109">
        <f t="shared" si="167"/>
        <v>-0.38849550784224152</v>
      </c>
      <c r="H291" s="109">
        <f t="shared" si="167"/>
        <v>0.23228255867464334</v>
      </c>
      <c r="I291" s="109">
        <f>RATE(5,0,-H291,+C291)</f>
        <v>-9.9935425144074122E-2</v>
      </c>
    </row>
    <row r="292" spans="1:11" x14ac:dyDescent="0.25">
      <c r="B292" s="94" t="s">
        <v>405</v>
      </c>
      <c r="C292" s="109">
        <f t="shared" ref="C292:H292" si="168">C72/C69</f>
        <v>0.81618051733626862</v>
      </c>
      <c r="D292" s="109">
        <f t="shared" si="168"/>
        <v>0.4936416184971098</v>
      </c>
      <c r="E292" s="109">
        <f t="shared" si="168"/>
        <v>0.48402255639097747</v>
      </c>
      <c r="F292" s="109">
        <f t="shared" si="168"/>
        <v>0.86677524429967423</v>
      </c>
      <c r="G292" s="109">
        <f t="shared" si="168"/>
        <v>1.1093581577658012</v>
      </c>
      <c r="H292" s="109">
        <f t="shared" si="168"/>
        <v>0.89978537229651645</v>
      </c>
      <c r="I292" s="109">
        <f t="shared" ref="I292:I313" si="169">RATE(5,0,-H292,+C292)</f>
        <v>-1.9315166215078124E-2</v>
      </c>
      <c r="K292" s="110"/>
    </row>
    <row r="293" spans="1:11" x14ac:dyDescent="0.25">
      <c r="B293" s="93" t="s">
        <v>406</v>
      </c>
      <c r="C293" s="109">
        <f t="shared" ref="C293:H293" si="170">C72/C60</f>
        <v>0.11198791768925807</v>
      </c>
      <c r="D293" s="109">
        <f t="shared" si="170"/>
        <v>6.5586360494585674E-2</v>
      </c>
      <c r="E293" s="109">
        <f t="shared" si="170"/>
        <v>3.9335497422188274E-2</v>
      </c>
      <c r="F293" s="109">
        <f t="shared" si="170"/>
        <v>0.10653801497377588</v>
      </c>
      <c r="G293" s="109">
        <f t="shared" si="170"/>
        <v>-0.43098066088015835</v>
      </c>
      <c r="H293" s="109">
        <f t="shared" si="170"/>
        <v>0.2090044485350514</v>
      </c>
      <c r="I293" s="109">
        <f t="shared" si="169"/>
        <v>-0.11732032201172139</v>
      </c>
    </row>
    <row r="294" spans="1:11" x14ac:dyDescent="0.25">
      <c r="B294" s="94" t="s">
        <v>407</v>
      </c>
      <c r="C294" s="109">
        <f t="shared" ref="C294:H294" si="171">C76/C72</f>
        <v>0.79669588671611602</v>
      </c>
      <c r="D294" s="109">
        <f t="shared" si="171"/>
        <v>0.59250585480093676</v>
      </c>
      <c r="E294" s="109">
        <f t="shared" si="171"/>
        <v>0.34563106796116505</v>
      </c>
      <c r="F294" s="109">
        <f t="shared" si="171"/>
        <v>0.72717023675310033</v>
      </c>
      <c r="G294" s="109">
        <f t="shared" si="171"/>
        <v>0.90027382740040629</v>
      </c>
      <c r="H294" s="109">
        <f t="shared" si="171"/>
        <v>2.0075229357798166</v>
      </c>
      <c r="I294" s="109">
        <f t="shared" si="169"/>
        <v>-0.16876004181410978</v>
      </c>
    </row>
    <row r="295" spans="1:11" x14ac:dyDescent="0.25">
      <c r="B295" s="93" t="s">
        <v>222</v>
      </c>
      <c r="C295" s="109">
        <f t="shared" ref="C295:H295" si="172">C76/C60</f>
        <v>8.9220313384934871E-2</v>
      </c>
      <c r="D295" s="109">
        <f t="shared" si="172"/>
        <v>3.8860302588126873E-2</v>
      </c>
      <c r="E295" s="109">
        <f t="shared" si="172"/>
        <v>1.3595569982814588E-2</v>
      </c>
      <c r="F295" s="109">
        <f t="shared" si="172"/>
        <v>7.7471273571685956E-2</v>
      </c>
      <c r="G295" s="109">
        <f t="shared" si="172"/>
        <v>-0.38800060910613676</v>
      </c>
      <c r="H295" s="109">
        <f t="shared" si="172"/>
        <v>0.41958122411412796</v>
      </c>
      <c r="I295" s="109">
        <f t="shared" si="169"/>
        <v>-0.26628138137903168</v>
      </c>
    </row>
    <row r="296" spans="1:11" x14ac:dyDescent="0.25">
      <c r="B296" s="94" t="s">
        <v>408</v>
      </c>
      <c r="C296" s="98">
        <f t="shared" ref="C296:H296" si="173">C60/AVERAGE(C21:D21)</f>
        <v>0.28802601314794979</v>
      </c>
      <c r="D296" s="98">
        <f t="shared" si="173"/>
        <v>0.26955243655032501</v>
      </c>
      <c r="E296" s="98">
        <f t="shared" si="173"/>
        <v>0.26018481717011127</v>
      </c>
      <c r="F296" s="98">
        <f t="shared" si="173"/>
        <v>0.24378388666299028</v>
      </c>
      <c r="G296" s="98">
        <f t="shared" si="173"/>
        <v>0.23500467450671653</v>
      </c>
      <c r="H296" s="98">
        <f t="shared" si="173"/>
        <v>0.21713353095959764</v>
      </c>
      <c r="I296" s="109">
        <f t="shared" si="169"/>
        <v>5.8134716939100183E-2</v>
      </c>
    </row>
    <row r="297" spans="1:11" x14ac:dyDescent="0.25">
      <c r="B297" s="93" t="s">
        <v>409</v>
      </c>
      <c r="C297" s="109">
        <f t="shared" ref="C297:H297" si="174">C76/AVERAGE(C21:D21)</f>
        <v>2.569777115607345E-2</v>
      </c>
      <c r="D297" s="109">
        <f t="shared" si="174"/>
        <v>1.0474889247712499E-2</v>
      </c>
      <c r="E297" s="109">
        <f t="shared" si="174"/>
        <v>3.5373608903020667E-3</v>
      </c>
      <c r="F297" s="109">
        <f t="shared" si="174"/>
        <v>1.8886248176037401E-2</v>
      </c>
      <c r="G297" s="109">
        <f t="shared" si="174"/>
        <v>-9.1181956851395421E-2</v>
      </c>
      <c r="H297" s="109">
        <f t="shared" si="174"/>
        <v>9.1105152716250873E-2</v>
      </c>
      <c r="I297" s="109">
        <f t="shared" si="169"/>
        <v>-0.22362685717338857</v>
      </c>
    </row>
    <row r="298" spans="1:11" x14ac:dyDescent="0.25">
      <c r="B298" s="94" t="s">
        <v>410</v>
      </c>
      <c r="C298" s="19">
        <f>AVERAGE(C260:D260)/AVERAGE(C259:D259)</f>
        <v>1.8712936771200066</v>
      </c>
      <c r="D298" s="19">
        <f t="shared" ref="D298:H298" si="175">AVERAGE(D260:E260)/AVERAGE(D259:E259)</f>
        <v>1.938229128005537</v>
      </c>
      <c r="E298" s="19">
        <f t="shared" si="175"/>
        <v>1.9734881167150364</v>
      </c>
      <c r="F298" s="19">
        <f t="shared" si="175"/>
        <v>1.9793574436845562</v>
      </c>
      <c r="G298" s="19">
        <f t="shared" si="175"/>
        <v>1.8970087827230684</v>
      </c>
      <c r="H298" s="19">
        <f t="shared" si="175"/>
        <v>1.8176479491448463</v>
      </c>
      <c r="I298" s="109">
        <f t="shared" si="169"/>
        <v>5.8342871354097542E-3</v>
      </c>
    </row>
    <row r="299" spans="1:11" x14ac:dyDescent="0.25">
      <c r="B299" s="93" t="s">
        <v>411</v>
      </c>
      <c r="C299" s="109">
        <f t="shared" ref="C299:H299" si="176">C76/AVERAGE(C34:D34)</f>
        <v>4.8088076680437131E-2</v>
      </c>
      <c r="D299" s="109">
        <f t="shared" si="176"/>
        <v>2.0302735452548376E-2</v>
      </c>
      <c r="E299" s="109">
        <f t="shared" si="176"/>
        <v>6.9809396815436508E-3</v>
      </c>
      <c r="F299" s="109">
        <f t="shared" si="176"/>
        <v>3.7382635910513502E-2</v>
      </c>
      <c r="G299" s="109">
        <f t="shared" si="176"/>
        <v>-0.17297297297297298</v>
      </c>
      <c r="H299" s="109">
        <f t="shared" si="176"/>
        <v>0.16559709399122144</v>
      </c>
      <c r="I299" s="109">
        <f t="shared" si="169"/>
        <v>-0.21909727333391882</v>
      </c>
    </row>
    <row r="300" spans="1:11" x14ac:dyDescent="0.25">
      <c r="B300" s="92" t="s">
        <v>412</v>
      </c>
      <c r="I300" s="109"/>
    </row>
    <row r="301" spans="1:11" x14ac:dyDescent="0.25">
      <c r="B301" s="93" t="s">
        <v>413</v>
      </c>
      <c r="C301" s="109">
        <f t="shared" ref="C301:H301" si="177">C62/C60</f>
        <v>0.30666414951859544</v>
      </c>
      <c r="D301" s="109">
        <f t="shared" si="177"/>
        <v>0.33338453267798174</v>
      </c>
      <c r="E301" s="109">
        <f t="shared" si="177"/>
        <v>0.35046782509070079</v>
      </c>
      <c r="F301" s="109">
        <f t="shared" si="177"/>
        <v>0.32618008567882451</v>
      </c>
      <c r="G301" s="109">
        <f t="shared" si="177"/>
        <v>0.33961474036850919</v>
      </c>
      <c r="H301" s="109">
        <f t="shared" si="177"/>
        <v>0.34641049240681088</v>
      </c>
      <c r="I301" s="109">
        <f t="shared" si="169"/>
        <v>-2.407960516795727E-2</v>
      </c>
    </row>
    <row r="302" spans="1:11" x14ac:dyDescent="0.25">
      <c r="B302" s="94" t="s">
        <v>219</v>
      </c>
      <c r="C302" s="109">
        <f t="shared" ref="C302:H302" si="178">C69/C62</f>
        <v>0.44742674218172862</v>
      </c>
      <c r="D302" s="109">
        <f t="shared" si="178"/>
        <v>0.39852568532596178</v>
      </c>
      <c r="E302" s="109">
        <f t="shared" si="178"/>
        <v>0.2318840579710145</v>
      </c>
      <c r="F302" s="109">
        <f t="shared" si="178"/>
        <v>0.37682582545722354</v>
      </c>
      <c r="G302" s="109">
        <f t="shared" si="178"/>
        <v>-1.1439300526846765</v>
      </c>
      <c r="H302" s="109">
        <f t="shared" si="178"/>
        <v>0.6705413483892394</v>
      </c>
      <c r="I302" s="109">
        <f t="shared" si="169"/>
        <v>-7.772746668457646E-2</v>
      </c>
    </row>
    <row r="303" spans="1:11" x14ac:dyDescent="0.25">
      <c r="B303" s="93" t="s">
        <v>404</v>
      </c>
      <c r="C303" s="109">
        <f>C301*C302</f>
        <v>0.13720974136303568</v>
      </c>
      <c r="D303" s="109">
        <f t="shared" ref="D303:H303" si="179">D301*D302</f>
        <v>0.13286229936256816</v>
      </c>
      <c r="E303" s="109">
        <f t="shared" si="179"/>
        <v>8.1267901470307435E-2</v>
      </c>
      <c r="F303" s="109">
        <f t="shared" si="179"/>
        <v>0.12291308003363094</v>
      </c>
      <c r="G303" s="109">
        <f t="shared" si="179"/>
        <v>-0.38849550784224146</v>
      </c>
      <c r="H303" s="109">
        <f t="shared" si="179"/>
        <v>0.23228255867464334</v>
      </c>
      <c r="I303" s="109">
        <f t="shared" si="169"/>
        <v>-9.9935425144074122E-2</v>
      </c>
    </row>
    <row r="304" spans="1:11" x14ac:dyDescent="0.25">
      <c r="B304" s="94" t="s">
        <v>414</v>
      </c>
      <c r="C304" s="109">
        <f t="shared" ref="C304:H304" si="180">C76/C69</f>
        <v>0.65024766097963671</v>
      </c>
      <c r="D304" s="109">
        <f t="shared" si="180"/>
        <v>0.292485549132948</v>
      </c>
      <c r="E304" s="109">
        <f t="shared" si="180"/>
        <v>0.16729323308270677</v>
      </c>
      <c r="F304" s="109">
        <f t="shared" si="180"/>
        <v>0.63029315960912047</v>
      </c>
      <c r="G304" s="109">
        <f t="shared" si="180"/>
        <v>0.99872611464968153</v>
      </c>
      <c r="H304" s="109">
        <f t="shared" si="180"/>
        <v>1.8063397721644379</v>
      </c>
      <c r="I304" s="109">
        <f t="shared" si="169"/>
        <v>-0.18481557977367824</v>
      </c>
    </row>
    <row r="305" spans="2:9" x14ac:dyDescent="0.25">
      <c r="B305" s="93" t="s">
        <v>222</v>
      </c>
      <c r="C305" s="109">
        <f>C303*C304</f>
        <v>8.9220313384934857E-2</v>
      </c>
      <c r="D305" s="109">
        <f t="shared" ref="D305:H305" si="181">D303*D304</f>
        <v>3.8860302588126873E-2</v>
      </c>
      <c r="E305" s="109">
        <f t="shared" si="181"/>
        <v>1.359556998281459E-2</v>
      </c>
      <c r="F305" s="109">
        <f t="shared" si="181"/>
        <v>7.7471273571685942E-2</v>
      </c>
      <c r="G305" s="109">
        <f t="shared" si="181"/>
        <v>-0.38800060910613671</v>
      </c>
      <c r="H305" s="109">
        <f t="shared" si="181"/>
        <v>0.4195812241141279</v>
      </c>
      <c r="I305" s="109">
        <f t="shared" si="169"/>
        <v>-0.26628138137903173</v>
      </c>
    </row>
    <row r="306" spans="2:9" x14ac:dyDescent="0.25">
      <c r="B306" s="92"/>
      <c r="I306" s="109"/>
    </row>
    <row r="307" spans="2:9" x14ac:dyDescent="0.25">
      <c r="B307" s="92" t="s">
        <v>420</v>
      </c>
      <c r="C307" s="109">
        <f t="shared" ref="C307:H307" si="182">C73/C72</f>
        <v>0.20161834120026972</v>
      </c>
      <c r="D307" s="109">
        <f t="shared" si="182"/>
        <v>0.40046838407494145</v>
      </c>
      <c r="E307" s="109">
        <f t="shared" si="182"/>
        <v>0.64951456310679612</v>
      </c>
      <c r="F307" s="109">
        <f t="shared" si="182"/>
        <v>0.27358136039083053</v>
      </c>
      <c r="G307" s="109">
        <f t="shared" si="182"/>
        <v>9.4249624591467185E-2</v>
      </c>
      <c r="H307" s="109">
        <f t="shared" si="182"/>
        <v>-1.0058715596330274</v>
      </c>
      <c r="I307" s="109">
        <f>RATE(5,0,H307,+C307)</f>
        <v>-0.27490067360516141</v>
      </c>
    </row>
    <row r="308" spans="2:9" x14ac:dyDescent="0.25">
      <c r="B308" s="92"/>
      <c r="I308" s="109"/>
    </row>
    <row r="309" spans="2:9" x14ac:dyDescent="0.25">
      <c r="B309" s="92" t="s">
        <v>415</v>
      </c>
      <c r="C309" s="19">
        <f t="shared" ref="C309:H309" si="183">C60/AVERAGE(C217:D217)</f>
        <v>-44.104912572855952</v>
      </c>
      <c r="D309" s="19">
        <f t="shared" si="183"/>
        <v>19.354886659234484</v>
      </c>
      <c r="E309" s="19">
        <f t="shared" si="183"/>
        <v>17.556151525310092</v>
      </c>
      <c r="F309" s="19">
        <f t="shared" si="183"/>
        <v>27.845039018952061</v>
      </c>
      <c r="G309" s="19">
        <f t="shared" si="183"/>
        <v>-38.041998551774078</v>
      </c>
      <c r="H309" s="19">
        <f t="shared" si="183"/>
        <v>-8.8303420250592612</v>
      </c>
      <c r="I309" s="109">
        <f t="shared" si="169"/>
        <v>0.37943705506686581</v>
      </c>
    </row>
    <row r="310" spans="2:9" x14ac:dyDescent="0.25">
      <c r="B310" s="92" t="s">
        <v>416</v>
      </c>
      <c r="C310" s="19">
        <f t="shared" ref="C310:H310" si="184">C60/AVERAGE(C17:D17)</f>
        <v>3.9103794478074709</v>
      </c>
      <c r="D310" s="19">
        <f t="shared" si="184"/>
        <v>3.8067533986259319</v>
      </c>
      <c r="E310" s="19">
        <f t="shared" si="184"/>
        <v>3.7592419783217284</v>
      </c>
      <c r="F310" s="19">
        <f t="shared" si="184"/>
        <v>3.5345644944456236</v>
      </c>
      <c r="G310" s="19">
        <f t="shared" si="184"/>
        <v>3.7156800339486526</v>
      </c>
      <c r="H310" s="19">
        <f t="shared" si="184"/>
        <v>3.6929613369211158</v>
      </c>
      <c r="I310" s="109">
        <f t="shared" si="169"/>
        <v>1.1506849922905842E-2</v>
      </c>
    </row>
    <row r="311" spans="2:9" x14ac:dyDescent="0.25">
      <c r="B311" s="92"/>
      <c r="I311" s="109"/>
    </row>
    <row r="312" spans="2:9" x14ac:dyDescent="0.25">
      <c r="B312" s="92" t="s">
        <v>417</v>
      </c>
      <c r="C312" s="19">
        <f t="shared" ref="C312:H312" si="185">C69+C104</f>
        <v>4567</v>
      </c>
      <c r="D312" s="19">
        <f t="shared" si="185"/>
        <v>4370</v>
      </c>
      <c r="E312" s="19">
        <f t="shared" si="185"/>
        <v>3097</v>
      </c>
      <c r="F312" s="19">
        <f t="shared" si="185"/>
        <v>4064</v>
      </c>
      <c r="G312" s="19">
        <f t="shared" si="185"/>
        <v>-9222</v>
      </c>
      <c r="H312" s="19">
        <f t="shared" si="185"/>
        <v>7088</v>
      </c>
      <c r="I312" s="109">
        <f t="shared" si="169"/>
        <v>-8.4156092803807148E-2</v>
      </c>
    </row>
    <row r="313" spans="2:9" x14ac:dyDescent="0.25">
      <c r="B313" s="92" t="s">
        <v>418</v>
      </c>
      <c r="C313" s="19">
        <f>C92</f>
        <v>5282.316037735849</v>
      </c>
      <c r="D313" s="19">
        <f t="shared" ref="D313:H313" si="186">D92</f>
        <v>5545.25</v>
      </c>
      <c r="E313" s="19">
        <f t="shared" si="186"/>
        <v>6454.5</v>
      </c>
      <c r="F313" s="19">
        <f t="shared" si="186"/>
        <v>6262</v>
      </c>
      <c r="G313" s="19">
        <f t="shared" si="186"/>
        <v>5127.5</v>
      </c>
      <c r="H313" s="19">
        <f t="shared" si="186"/>
        <v>1476.5</v>
      </c>
      <c r="I313" s="109">
        <f t="shared" si="169"/>
        <v>0.29038167224517125</v>
      </c>
    </row>
    <row r="315" spans="2:9" x14ac:dyDescent="0.25">
      <c r="B315" s="66" t="s">
        <v>471</v>
      </c>
      <c r="C315" s="66" t="s">
        <v>419</v>
      </c>
      <c r="D315" s="66"/>
      <c r="E315" s="66"/>
      <c r="F315" s="66"/>
      <c r="G315" s="66"/>
      <c r="H315" s="66"/>
    </row>
    <row r="316" spans="2:9" x14ac:dyDescent="0.25">
      <c r="B316" s="66" t="s">
        <v>473</v>
      </c>
      <c r="C316" s="66"/>
      <c r="D316" s="66"/>
      <c r="E316" s="66"/>
      <c r="F316" s="66"/>
      <c r="G316" s="66"/>
      <c r="H316" s="66"/>
    </row>
    <row r="317" spans="2:9" x14ac:dyDescent="0.25">
      <c r="B317" s="66" t="s">
        <v>474</v>
      </c>
      <c r="C317" s="66"/>
      <c r="D317" s="66"/>
      <c r="E317" s="66"/>
      <c r="F317" s="66"/>
      <c r="G317" s="66"/>
      <c r="H317" s="66"/>
    </row>
    <row r="318" spans="2:9" x14ac:dyDescent="0.25">
      <c r="B318" s="101" t="s">
        <v>475</v>
      </c>
      <c r="C318" s="124">
        <v>2022</v>
      </c>
      <c r="D318" s="124">
        <v>2021</v>
      </c>
      <c r="E318" s="124">
        <v>2020</v>
      </c>
      <c r="F318" s="124">
        <v>2019</v>
      </c>
      <c r="G318" s="124">
        <v>2018</v>
      </c>
      <c r="H318" s="124">
        <v>2017</v>
      </c>
    </row>
    <row r="319" spans="2:9" x14ac:dyDescent="0.25">
      <c r="B319" s="92" t="s">
        <v>110</v>
      </c>
      <c r="C319" s="19">
        <f t="shared" ref="C319:H320" si="187">C39</f>
        <v>1225</v>
      </c>
      <c r="D319" s="19">
        <f t="shared" si="187"/>
        <v>1224</v>
      </c>
      <c r="E319" s="19">
        <f t="shared" si="187"/>
        <v>1223</v>
      </c>
      <c r="F319" s="19">
        <f t="shared" si="187"/>
        <v>1221</v>
      </c>
      <c r="G319" s="19">
        <f t="shared" si="187"/>
        <v>1220</v>
      </c>
      <c r="H319" s="19">
        <f t="shared" si="187"/>
        <v>1219</v>
      </c>
    </row>
    <row r="320" spans="2:9" x14ac:dyDescent="0.25">
      <c r="B320" s="93" t="s">
        <v>445</v>
      </c>
      <c r="C320" s="24">
        <f t="shared" si="187"/>
        <v>38.130000000000003</v>
      </c>
      <c r="D320" s="24">
        <f t="shared" si="187"/>
        <v>39.22</v>
      </c>
      <c r="E320" s="24">
        <f t="shared" si="187"/>
        <v>36.380000000000003</v>
      </c>
      <c r="F320" s="24">
        <f t="shared" si="187"/>
        <v>24.77</v>
      </c>
      <c r="G320" s="24">
        <f t="shared" si="187"/>
        <v>33.19</v>
      </c>
      <c r="H320" s="24">
        <f t="shared" si="187"/>
        <v>67.14</v>
      </c>
    </row>
    <row r="321" spans="2:11" x14ac:dyDescent="0.25">
      <c r="B321" s="92" t="s">
        <v>111</v>
      </c>
      <c r="C321" s="60">
        <f>C320*C319</f>
        <v>46709.25</v>
      </c>
      <c r="D321" s="60">
        <f t="shared" ref="D321:H321" si="188">D320*D319</f>
        <v>48005.279999999999</v>
      </c>
      <c r="E321" s="60">
        <f t="shared" si="188"/>
        <v>44492.740000000005</v>
      </c>
      <c r="F321" s="60">
        <f t="shared" si="188"/>
        <v>30244.17</v>
      </c>
      <c r="G321" s="60">
        <f t="shared" si="188"/>
        <v>40491.799999999996</v>
      </c>
      <c r="H321" s="60">
        <f t="shared" si="188"/>
        <v>81843.66</v>
      </c>
    </row>
    <row r="322" spans="2:11" x14ac:dyDescent="0.25">
      <c r="B322" s="93" t="s">
        <v>228</v>
      </c>
      <c r="C322" s="60">
        <f t="shared" ref="C322:H322" si="189">C255</f>
        <v>20070</v>
      </c>
      <c r="D322" s="60">
        <f t="shared" si="189"/>
        <v>21815</v>
      </c>
      <c r="E322" s="60">
        <f t="shared" si="189"/>
        <v>28306</v>
      </c>
      <c r="F322" s="60">
        <f t="shared" si="189"/>
        <v>29244</v>
      </c>
      <c r="G322" s="60">
        <f t="shared" si="189"/>
        <v>31168</v>
      </c>
      <c r="H322" s="60">
        <f t="shared" si="189"/>
        <v>31503</v>
      </c>
    </row>
    <row r="323" spans="2:11" x14ac:dyDescent="0.25">
      <c r="B323" s="93" t="s">
        <v>421</v>
      </c>
      <c r="C323" s="60">
        <f t="shared" ref="C323:H323" si="190">-SUM(C6:C7)</f>
        <v>-1040</v>
      </c>
      <c r="D323" s="60">
        <f t="shared" si="190"/>
        <v>-3445</v>
      </c>
      <c r="E323" s="60">
        <f t="shared" si="190"/>
        <v>-3417</v>
      </c>
      <c r="F323" s="60">
        <f t="shared" si="190"/>
        <v>-2279</v>
      </c>
      <c r="G323" s="60">
        <f t="shared" si="190"/>
        <v>-1130</v>
      </c>
      <c r="H323" s="60">
        <f t="shared" si="190"/>
        <v>-1629</v>
      </c>
    </row>
    <row r="324" spans="2:11" x14ac:dyDescent="0.25">
      <c r="B324" s="92" t="s">
        <v>422</v>
      </c>
      <c r="C324" s="60">
        <f>SUM(C321:C323)</f>
        <v>65739.25</v>
      </c>
      <c r="D324" s="60">
        <f t="shared" ref="D324:H324" si="191">SUM(D321:D323)</f>
        <v>66375.28</v>
      </c>
      <c r="E324" s="60">
        <f t="shared" si="191"/>
        <v>69381.740000000005</v>
      </c>
      <c r="F324" s="60">
        <f t="shared" si="191"/>
        <v>57209.17</v>
      </c>
      <c r="G324" s="60">
        <f t="shared" si="191"/>
        <v>70529.799999999988</v>
      </c>
      <c r="H324" s="60">
        <f t="shared" si="191"/>
        <v>111717.66</v>
      </c>
    </row>
    <row r="325" spans="2:11" x14ac:dyDescent="0.25">
      <c r="B325" s="92"/>
    </row>
    <row r="326" spans="2:11" x14ac:dyDescent="0.25">
      <c r="B326" s="92" t="s">
        <v>423</v>
      </c>
    </row>
    <row r="327" spans="2:11" x14ac:dyDescent="0.25">
      <c r="B327" s="93" t="s">
        <v>424</v>
      </c>
      <c r="C327" s="24">
        <f t="shared" ref="C327:H327" si="192">C81</f>
        <v>2.2917538767091896</v>
      </c>
      <c r="D327" s="24">
        <f t="shared" si="192"/>
        <v>1.5406553398058251</v>
      </c>
      <c r="E327" s="24">
        <f t="shared" si="192"/>
        <v>2.7870521172638436</v>
      </c>
      <c r="F327" s="24">
        <f t="shared" si="192"/>
        <v>2.5972222222222223</v>
      </c>
      <c r="G327" s="24">
        <f t="shared" si="192"/>
        <v>3.2219031993437244</v>
      </c>
      <c r="H327" s="24">
        <f t="shared" si="192"/>
        <v>3.8220684039087947</v>
      </c>
    </row>
    <row r="328" spans="2:11" x14ac:dyDescent="0.25">
      <c r="B328" s="93" t="s">
        <v>425</v>
      </c>
      <c r="C328" s="24">
        <f t="shared" ref="C328:H328" si="193">C34/C39</f>
        <v>39.861224489795916</v>
      </c>
      <c r="D328" s="24">
        <f t="shared" si="193"/>
        <v>40.398692810457518</v>
      </c>
      <c r="E328" s="24">
        <f t="shared" si="193"/>
        <v>41.081766148814388</v>
      </c>
      <c r="F328" s="24">
        <f t="shared" si="193"/>
        <v>42.382473382473385</v>
      </c>
      <c r="G328" s="24">
        <f t="shared" si="193"/>
        <v>42.438524590163937</v>
      </c>
      <c r="H328" s="24">
        <f t="shared" si="193"/>
        <v>54.20016406890894</v>
      </c>
    </row>
    <row r="329" spans="2:11" x14ac:dyDescent="0.25">
      <c r="B329" s="93"/>
    </row>
    <row r="330" spans="2:11" x14ac:dyDescent="0.25">
      <c r="B330" s="93" t="s">
        <v>426</v>
      </c>
      <c r="I330" s="19" t="s">
        <v>466</v>
      </c>
      <c r="J330" s="19" t="s">
        <v>467</v>
      </c>
      <c r="K330" s="19" t="s">
        <v>468</v>
      </c>
    </row>
    <row r="331" spans="2:11" x14ac:dyDescent="0.25">
      <c r="B331" s="94" t="s">
        <v>427</v>
      </c>
      <c r="C331" s="98">
        <f>C320/C327</f>
        <v>16.637912293946773</v>
      </c>
      <c r="D331" s="98">
        <f t="shared" ref="D331:H331" si="194">D320/D327</f>
        <v>25.456699487987397</v>
      </c>
      <c r="E331" s="98">
        <f t="shared" si="194"/>
        <v>13.053218407596788</v>
      </c>
      <c r="F331" s="98">
        <f t="shared" si="194"/>
        <v>9.5371122994652406</v>
      </c>
      <c r="G331" s="98">
        <f t="shared" si="194"/>
        <v>10.301364735837046</v>
      </c>
      <c r="H331" s="98">
        <f t="shared" si="194"/>
        <v>17.566404602109301</v>
      </c>
      <c r="I331" s="92">
        <f>AVERAGE(C331:H331)</f>
        <v>15.42545197115709</v>
      </c>
      <c r="J331" s="92">
        <f>STDEV(C331:H331)</f>
        <v>5.886186730145524</v>
      </c>
      <c r="K331" s="98">
        <f>J331/I331</f>
        <v>0.38158925528740867</v>
      </c>
    </row>
    <row r="332" spans="2:11" x14ac:dyDescent="0.25">
      <c r="B332" s="94" t="s">
        <v>428</v>
      </c>
      <c r="C332" s="111">
        <f>C320/C328</f>
        <v>0.95656870776162206</v>
      </c>
      <c r="D332" s="111">
        <f t="shared" ref="D332:H332" si="195">D320/D328</f>
        <v>0.97082349134444257</v>
      </c>
      <c r="E332" s="111">
        <f t="shared" si="195"/>
        <v>0.88555102203292013</v>
      </c>
      <c r="F332" s="111">
        <f t="shared" si="195"/>
        <v>0.58443969931786122</v>
      </c>
      <c r="G332" s="111">
        <f t="shared" si="195"/>
        <v>0.7820724287783678</v>
      </c>
      <c r="H332" s="111">
        <f t="shared" si="195"/>
        <v>1.2387416376570304</v>
      </c>
      <c r="I332" s="92">
        <f t="shared" ref="I332:I339" si="196">AVERAGE(C332:H332)</f>
        <v>0.90303283114870736</v>
      </c>
      <c r="J332" s="92">
        <f t="shared" ref="J332:J339" si="197">STDEV(C332:H332)</f>
        <v>0.21753192073949565</v>
      </c>
      <c r="K332" s="98">
        <f t="shared" ref="K332:K339" si="198">J332/I332</f>
        <v>0.24089037877258915</v>
      </c>
    </row>
    <row r="333" spans="2:11" x14ac:dyDescent="0.25">
      <c r="B333" s="94" t="s">
        <v>429</v>
      </c>
      <c r="C333" s="111">
        <f t="shared" ref="C333:H333" si="199">C324/C312</f>
        <v>14.394405517845414</v>
      </c>
      <c r="D333" s="111">
        <f t="shared" si="199"/>
        <v>15.188851258581236</v>
      </c>
      <c r="E333" s="111">
        <f t="shared" si="199"/>
        <v>22.402886664514046</v>
      </c>
      <c r="F333" s="111">
        <f t="shared" si="199"/>
        <v>14.077059547244094</v>
      </c>
      <c r="G333" s="111">
        <f t="shared" si="199"/>
        <v>-7.6479939275645181</v>
      </c>
      <c r="H333" s="111">
        <f t="shared" si="199"/>
        <v>15.761520880361175</v>
      </c>
      <c r="I333" s="92">
        <f t="shared" si="196"/>
        <v>12.362788323496906</v>
      </c>
      <c r="J333" s="92">
        <f t="shared" si="197"/>
        <v>10.274621063141717</v>
      </c>
      <c r="K333" s="98">
        <f t="shared" si="198"/>
        <v>0.83109253303428443</v>
      </c>
    </row>
    <row r="334" spans="2:11" x14ac:dyDescent="0.25">
      <c r="B334" s="94" t="s">
        <v>430</v>
      </c>
      <c r="C334" s="111">
        <f t="shared" ref="C334:H334" si="200">C321/C60</f>
        <v>1.7636114781952048</v>
      </c>
      <c r="D334" s="111">
        <f t="shared" si="200"/>
        <v>1.8433791567467936</v>
      </c>
      <c r="E334" s="111">
        <f t="shared" si="200"/>
        <v>1.6991689898797022</v>
      </c>
      <c r="F334" s="111">
        <f t="shared" si="200"/>
        <v>1.2108808103455178</v>
      </c>
      <c r="G334" s="111">
        <f t="shared" si="200"/>
        <v>1.5414877417389978</v>
      </c>
      <c r="H334" s="111">
        <f t="shared" si="200"/>
        <v>3.1386585365853659</v>
      </c>
      <c r="I334" s="92">
        <f t="shared" si="196"/>
        <v>1.8661977855819301</v>
      </c>
      <c r="J334" s="92">
        <f t="shared" si="197"/>
        <v>0.66226529009583579</v>
      </c>
      <c r="K334" s="98">
        <f t="shared" si="198"/>
        <v>0.35487411635167271</v>
      </c>
    </row>
    <row r="335" spans="2:11" x14ac:dyDescent="0.25">
      <c r="B335" s="94" t="s">
        <v>431</v>
      </c>
      <c r="C335" s="111">
        <f t="shared" ref="C335:H335" si="201">C321/C69</f>
        <v>12.853398458998349</v>
      </c>
      <c r="D335" s="111">
        <f t="shared" si="201"/>
        <v>13.874358381502891</v>
      </c>
      <c r="E335" s="111">
        <f t="shared" si="201"/>
        <v>20.908242481203011</v>
      </c>
      <c r="F335" s="111">
        <f t="shared" si="201"/>
        <v>9.8515211726384351</v>
      </c>
      <c r="G335" s="111">
        <f t="shared" si="201"/>
        <v>-3.9678392944634977</v>
      </c>
      <c r="H335" s="111">
        <f t="shared" si="201"/>
        <v>13.512243684992571</v>
      </c>
      <c r="I335" s="92">
        <f t="shared" si="196"/>
        <v>11.171987480811959</v>
      </c>
      <c r="J335" s="92">
        <f t="shared" si="197"/>
        <v>8.2626799278766878</v>
      </c>
      <c r="K335" s="98">
        <f t="shared" si="198"/>
        <v>0.73958907867270296</v>
      </c>
    </row>
    <row r="336" spans="2:11" x14ac:dyDescent="0.25">
      <c r="B336" s="94" t="s">
        <v>432</v>
      </c>
      <c r="C336" s="111">
        <f>C321/C69</f>
        <v>12.853398458998349</v>
      </c>
      <c r="D336" s="111">
        <f t="shared" ref="D336:H336" si="202">D321/D69</f>
        <v>13.874358381502891</v>
      </c>
      <c r="E336" s="111">
        <f t="shared" si="202"/>
        <v>20.908242481203011</v>
      </c>
      <c r="F336" s="111">
        <f t="shared" si="202"/>
        <v>9.8515211726384351</v>
      </c>
      <c r="G336" s="111">
        <f t="shared" si="202"/>
        <v>-3.9678392944634977</v>
      </c>
      <c r="H336" s="111">
        <f t="shared" si="202"/>
        <v>13.512243684992571</v>
      </c>
      <c r="I336" s="92">
        <f t="shared" si="196"/>
        <v>11.171987480811959</v>
      </c>
      <c r="J336" s="92">
        <f t="shared" si="197"/>
        <v>8.2626799278766878</v>
      </c>
      <c r="K336" s="98">
        <f t="shared" si="198"/>
        <v>0.73958907867270296</v>
      </c>
    </row>
    <row r="337" spans="2:11" x14ac:dyDescent="0.25">
      <c r="B337" s="94" t="s">
        <v>433</v>
      </c>
      <c r="C337" s="111">
        <f t="shared" ref="C337:H337" si="203">C321/C116</f>
        <v>11.819142206477732</v>
      </c>
      <c r="D337" s="111">
        <f t="shared" si="203"/>
        <v>9.6823880597014931</v>
      </c>
      <c r="E337" s="111">
        <f t="shared" si="203"/>
        <v>9.9514068441064651</v>
      </c>
      <c r="F337" s="111">
        <f t="shared" si="203"/>
        <v>7.990533685601056</v>
      </c>
      <c r="G337" s="111">
        <f t="shared" si="203"/>
        <v>8.7323269355186532</v>
      </c>
      <c r="H337" s="111">
        <f t="shared" si="203"/>
        <v>21.175591203104787</v>
      </c>
      <c r="I337" s="92">
        <f t="shared" si="196"/>
        <v>11.558564822418363</v>
      </c>
      <c r="J337" s="92">
        <f t="shared" si="197"/>
        <v>4.8862369934082688</v>
      </c>
      <c r="K337" s="98">
        <f t="shared" si="198"/>
        <v>0.42273734399371016</v>
      </c>
    </row>
    <row r="338" spans="2:11" x14ac:dyDescent="0.25">
      <c r="B338" s="94" t="s">
        <v>434</v>
      </c>
      <c r="C338" s="111">
        <f t="shared" ref="C338:H338" si="204">C321/C123</f>
        <v>18.918286755771568</v>
      </c>
      <c r="D338" s="111">
        <f t="shared" si="204"/>
        <v>8.9495302013422808</v>
      </c>
      <c r="E338" s="111">
        <f t="shared" si="204"/>
        <v>9.0267275309393398</v>
      </c>
      <c r="F338" s="111">
        <f t="shared" si="204"/>
        <v>8.5146874999999991</v>
      </c>
      <c r="G338" s="111">
        <f t="shared" si="204"/>
        <v>15.73108003108003</v>
      </c>
      <c r="H338" s="111">
        <f t="shared" si="204"/>
        <v>163.36059880239523</v>
      </c>
      <c r="I338" s="92">
        <f t="shared" si="196"/>
        <v>37.416818470254746</v>
      </c>
      <c r="J338" s="92">
        <f t="shared" si="197"/>
        <v>61.84823307281173</v>
      </c>
      <c r="K338" s="98">
        <f t="shared" si="198"/>
        <v>1.6529527523025302</v>
      </c>
    </row>
    <row r="339" spans="2:11" x14ac:dyDescent="0.25">
      <c r="B339" s="94" t="s">
        <v>435</v>
      </c>
      <c r="C339" s="111">
        <f t="shared" ref="C339:H339" si="205">C321/C187</f>
        <v>30.076786864133933</v>
      </c>
      <c r="D339" s="111">
        <f t="shared" si="205"/>
        <v>10.765929580623459</v>
      </c>
      <c r="E339" s="111">
        <f t="shared" si="205"/>
        <v>10.268345257327487</v>
      </c>
      <c r="F339" s="111">
        <f t="shared" si="205"/>
        <v>10.863566810344826</v>
      </c>
      <c r="G339" s="111">
        <f t="shared" si="205"/>
        <v>23.164645308924484</v>
      </c>
      <c r="H339" s="111">
        <f t="shared" si="205"/>
        <v>-118.10051948051948</v>
      </c>
      <c r="I339" s="92">
        <f t="shared" si="196"/>
        <v>-5.4935409431942146</v>
      </c>
      <c r="J339" s="92">
        <f t="shared" si="197"/>
        <v>55.762413662361347</v>
      </c>
      <c r="K339" s="98">
        <f t="shared" si="198"/>
        <v>-10.150541197193361</v>
      </c>
    </row>
    <row r="340" spans="2:11" x14ac:dyDescent="0.25">
      <c r="B340" s="93"/>
    </row>
    <row r="341" spans="2:11" x14ac:dyDescent="0.25">
      <c r="B341" s="112" t="s">
        <v>436</v>
      </c>
      <c r="C341" s="24">
        <f t="shared" ref="C341:H341" si="206">C82</f>
        <v>1.6</v>
      </c>
      <c r="D341" s="24">
        <f t="shared" si="206"/>
        <v>1.6</v>
      </c>
      <c r="E341" s="24">
        <f t="shared" si="206"/>
        <v>1.6</v>
      </c>
      <c r="F341" s="24">
        <f t="shared" si="206"/>
        <v>1.6</v>
      </c>
      <c r="G341" s="24">
        <f t="shared" si="206"/>
        <v>2.5</v>
      </c>
      <c r="H341" s="24">
        <f t="shared" si="206"/>
        <v>2.4500000000000002</v>
      </c>
    </row>
    <row r="342" spans="2:11" x14ac:dyDescent="0.25">
      <c r="B342" s="112" t="s">
        <v>437</v>
      </c>
      <c r="C342" s="83">
        <f>C341/C320</f>
        <v>4.1961709939680042E-2</v>
      </c>
      <c r="D342" s="83">
        <f t="shared" ref="D342:H342" si="207">D341/D320</f>
        <v>4.0795512493625702E-2</v>
      </c>
      <c r="E342" s="83">
        <f t="shared" si="207"/>
        <v>4.3980208905992302E-2</v>
      </c>
      <c r="F342" s="83">
        <f t="shared" si="207"/>
        <v>6.4594267258780785E-2</v>
      </c>
      <c r="G342" s="83">
        <f t="shared" si="207"/>
        <v>7.5323892738776752E-2</v>
      </c>
      <c r="H342" s="83">
        <f t="shared" si="207"/>
        <v>3.6490914507000302E-2</v>
      </c>
    </row>
    <row r="343" spans="2:11" x14ac:dyDescent="0.25">
      <c r="B343" s="112" t="s">
        <v>438</v>
      </c>
      <c r="C343" s="83">
        <f>C341/C327</f>
        <v>0.69815524968043108</v>
      </c>
      <c r="D343" s="83">
        <f t="shared" ref="D343:H343" si="208">D341/D327</f>
        <v>1.038519102008665</v>
      </c>
      <c r="E343" s="83">
        <f t="shared" si="208"/>
        <v>0.57408327246165092</v>
      </c>
      <c r="F343" s="83">
        <f t="shared" si="208"/>
        <v>0.61604278074866314</v>
      </c>
      <c r="G343" s="83">
        <f t="shared" si="208"/>
        <v>0.77593889242520686</v>
      </c>
      <c r="H343" s="83">
        <f t="shared" si="208"/>
        <v>0.64101416853094717</v>
      </c>
    </row>
    <row r="344" spans="2:11" x14ac:dyDescent="0.25">
      <c r="B344" s="112" t="s">
        <v>439</v>
      </c>
      <c r="C344" s="83">
        <f>1-C343</f>
        <v>0.30184475031956892</v>
      </c>
      <c r="D344" s="83">
        <f t="shared" ref="D344:H344" si="209">1-D343</f>
        <v>-3.851910200866504E-2</v>
      </c>
      <c r="E344" s="83">
        <f t="shared" si="209"/>
        <v>0.42591672753834908</v>
      </c>
      <c r="F344" s="83">
        <f t="shared" si="209"/>
        <v>0.38395721925133686</v>
      </c>
      <c r="G344" s="83">
        <f t="shared" si="209"/>
        <v>0.22406110757479314</v>
      </c>
      <c r="H344" s="83">
        <f t="shared" si="209"/>
        <v>0.35898583146905283</v>
      </c>
    </row>
    <row r="345" spans="2:11" x14ac:dyDescent="0.25">
      <c r="B345" s="112" t="s">
        <v>440</v>
      </c>
      <c r="C345" s="83">
        <f t="shared" ref="C345:H345" si="210">C344*C299</f>
        <v>1.451513349895483E-2</v>
      </c>
      <c r="D345" s="83">
        <f t="shared" si="210"/>
        <v>-7.8204313795165103E-4</v>
      </c>
      <c r="E345" s="83">
        <f t="shared" si="210"/>
        <v>2.9732989843056765E-3</v>
      </c>
      <c r="F345" s="83">
        <f t="shared" si="210"/>
        <v>1.4353332932485932E-2</v>
      </c>
      <c r="G345" s="83">
        <f t="shared" si="210"/>
        <v>-3.8756515904829085E-2</v>
      </c>
      <c r="H345" s="83">
        <f t="shared" si="210"/>
        <v>5.9447010475297518E-2</v>
      </c>
    </row>
    <row r="346" spans="2:11" x14ac:dyDescent="0.25">
      <c r="B346" s="112" t="s">
        <v>441</v>
      </c>
      <c r="C346" s="83">
        <f t="shared" ref="C346:H346" si="211">C344*C297</f>
        <v>7.7567373183744107E-3</v>
      </c>
      <c r="D346" s="83">
        <f t="shared" si="211"/>
        <v>-4.0348332746210637E-4</v>
      </c>
      <c r="E346" s="83">
        <f t="shared" si="211"/>
        <v>1.5066211745195972E-3</v>
      </c>
      <c r="F346" s="83">
        <f t="shared" si="211"/>
        <v>7.2515113317619534E-3</v>
      </c>
      <c r="G346" s="83">
        <f t="shared" si="211"/>
        <v>-2.0430330242960655E-2</v>
      </c>
      <c r="H346" s="83">
        <f t="shared" si="211"/>
        <v>3.2705458998958353E-2</v>
      </c>
    </row>
    <row r="347" spans="2:11" x14ac:dyDescent="0.25">
      <c r="B347" s="112"/>
    </row>
    <row r="348" spans="2:11" x14ac:dyDescent="0.25">
      <c r="B348" s="112" t="s">
        <v>442</v>
      </c>
      <c r="C348" s="98">
        <f>C331/(C345*100)</f>
        <v>11.462459022608916</v>
      </c>
      <c r="D348" s="98">
        <f t="shared" ref="D348:H348" si="212">D331/(D345*100)</f>
        <v>-325.51528493254591</v>
      </c>
      <c r="E348" s="98">
        <f t="shared" si="212"/>
        <v>43.901465935639727</v>
      </c>
      <c r="F348" s="98">
        <f t="shared" si="212"/>
        <v>6.6445280300576544</v>
      </c>
      <c r="G348" s="98">
        <f t="shared" si="212"/>
        <v>-2.6579697620738632</v>
      </c>
      <c r="H348" s="98">
        <f t="shared" si="212"/>
        <v>2.9549685445340952</v>
      </c>
    </row>
    <row r="349" spans="2:11" x14ac:dyDescent="0.25">
      <c r="B349" s="92"/>
    </row>
    <row r="350" spans="2:11" x14ac:dyDescent="0.25">
      <c r="B350" s="92" t="s">
        <v>443</v>
      </c>
      <c r="C350" s="60">
        <f t="shared" ref="C350:H350" si="213">+C321-C34</f>
        <v>-2120.75</v>
      </c>
      <c r="D350" s="60">
        <f t="shared" si="213"/>
        <v>-1442.7200000000012</v>
      </c>
      <c r="E350" s="60">
        <f t="shared" si="213"/>
        <v>-5750.2599999999948</v>
      </c>
      <c r="F350" s="60">
        <f t="shared" si="213"/>
        <v>-21504.83</v>
      </c>
      <c r="G350" s="60">
        <f t="shared" si="213"/>
        <v>-11283.200000000004</v>
      </c>
      <c r="H350" s="60">
        <f t="shared" si="213"/>
        <v>15773.660000000003</v>
      </c>
    </row>
    <row r="351" spans="2:11" x14ac:dyDescent="0.25">
      <c r="B351" s="93" t="s">
        <v>444</v>
      </c>
      <c r="C351" s="109">
        <f t="shared" ref="C351:H351" si="214">C350/C21</f>
        <v>-2.3430335973838014E-2</v>
      </c>
      <c r="D351" s="109">
        <f t="shared" si="214"/>
        <v>-1.5447673298070553E-2</v>
      </c>
      <c r="E351" s="109">
        <f t="shared" si="214"/>
        <v>-5.7600520885505303E-2</v>
      </c>
      <c r="F351" s="109">
        <f t="shared" si="214"/>
        <v>-0.21197466732380485</v>
      </c>
      <c r="G351" s="109">
        <f t="shared" si="214"/>
        <v>-0.10905751925846459</v>
      </c>
      <c r="H351" s="109">
        <f t="shared" si="214"/>
        <v>0.1313464677080905</v>
      </c>
    </row>
    <row r="353" spans="2:6" x14ac:dyDescent="0.25">
      <c r="B353" s="66" t="s">
        <v>476</v>
      </c>
      <c r="C353" s="82"/>
      <c r="D353" s="82"/>
    </row>
    <row r="354" spans="2:6" x14ac:dyDescent="0.25">
      <c r="B354" s="66" t="s">
        <v>472</v>
      </c>
      <c r="C354" s="82"/>
      <c r="D354" s="82"/>
    </row>
    <row r="355" spans="2:6" x14ac:dyDescent="0.25">
      <c r="B355" s="92" t="s">
        <v>446</v>
      </c>
    </row>
    <row r="356" spans="2:6" x14ac:dyDescent="0.25">
      <c r="B356" s="93" t="s">
        <v>447</v>
      </c>
    </row>
    <row r="357" spans="2:6" x14ac:dyDescent="0.25">
      <c r="B357" s="94" t="s">
        <v>215</v>
      </c>
      <c r="C357" s="83">
        <f>S60</f>
        <v>3.1174860707707231E-3</v>
      </c>
      <c r="D357" s="110">
        <f>C357</f>
        <v>3.1174860707707231E-3</v>
      </c>
      <c r="F357" s="110"/>
    </row>
    <row r="358" spans="2:6" x14ac:dyDescent="0.25">
      <c r="B358" s="94" t="s">
        <v>448</v>
      </c>
      <c r="C358" s="83">
        <f>S69</f>
        <v>-9.7129486369166726E-2</v>
      </c>
      <c r="D358" s="110" t="s">
        <v>469</v>
      </c>
    </row>
    <row r="359" spans="2:6" x14ac:dyDescent="0.25">
      <c r="B359" s="94" t="s">
        <v>291</v>
      </c>
      <c r="C359" s="83">
        <f>RATE(5,0,-H92,C92)</f>
        <v>0.29038167224517125</v>
      </c>
      <c r="D359" s="110" t="s">
        <v>469</v>
      </c>
    </row>
    <row r="360" spans="2:6" x14ac:dyDescent="0.25">
      <c r="B360" s="94" t="s">
        <v>449</v>
      </c>
      <c r="C360" s="83">
        <f>S116</f>
        <v>4.461944531612725E-3</v>
      </c>
      <c r="D360" s="110">
        <f>C360</f>
        <v>4.461944531612725E-3</v>
      </c>
    </row>
    <row r="361" spans="2:6" x14ac:dyDescent="0.25">
      <c r="B361" s="94" t="s">
        <v>450</v>
      </c>
      <c r="C361" s="83">
        <f>S123</f>
        <v>0.37574097606482232</v>
      </c>
      <c r="D361" s="110" t="s">
        <v>469</v>
      </c>
    </row>
    <row r="362" spans="2:6" x14ac:dyDescent="0.25">
      <c r="B362" s="94" t="s">
        <v>451</v>
      </c>
      <c r="D362" s="110"/>
    </row>
    <row r="363" spans="2:6" x14ac:dyDescent="0.25">
      <c r="B363" s="94" t="s">
        <v>239</v>
      </c>
      <c r="C363" s="83">
        <f>RATE(5,0,-H188,+C188)</f>
        <v>0.57365781095448476</v>
      </c>
      <c r="D363" s="110" t="s">
        <v>469</v>
      </c>
    </row>
    <row r="364" spans="2:6" x14ac:dyDescent="0.25">
      <c r="B364" s="94" t="s">
        <v>205</v>
      </c>
      <c r="C364" s="83">
        <f>S78</f>
        <v>-0.32337561155029648</v>
      </c>
      <c r="D364" s="110" t="s">
        <v>469</v>
      </c>
    </row>
    <row r="365" spans="2:6" x14ac:dyDescent="0.25">
      <c r="B365" s="94" t="s">
        <v>401</v>
      </c>
      <c r="C365" s="83">
        <f>RATE(5,0,-H493,C493)</f>
        <v>-9.7236682442660857E-2</v>
      </c>
      <c r="D365" s="110">
        <f>C365</f>
        <v>-9.7236682442660857E-2</v>
      </c>
    </row>
    <row r="366" spans="2:6" x14ac:dyDescent="0.25">
      <c r="B366" s="92" t="s">
        <v>452</v>
      </c>
      <c r="C366" s="83">
        <f>AVERAGE(C363:C365)</f>
        <v>5.1015172320509138E-2</v>
      </c>
      <c r="D366" s="110">
        <f>AVERAGE(D357:D365)</f>
        <v>-2.9885750613425802E-2</v>
      </c>
    </row>
    <row r="367" spans="2:6" x14ac:dyDescent="0.25">
      <c r="B367" s="92" t="s">
        <v>453</v>
      </c>
      <c r="D367" s="110">
        <f>C345</f>
        <v>1.451513349895483E-2</v>
      </c>
    </row>
    <row r="368" spans="2:6" x14ac:dyDescent="0.25">
      <c r="B368" s="92" t="s">
        <v>232</v>
      </c>
      <c r="D368" s="110">
        <f>C331/100</f>
        <v>0.16637912293946772</v>
      </c>
    </row>
    <row r="369" spans="2:7" x14ac:dyDescent="0.25">
      <c r="B369" s="92" t="s">
        <v>454</v>
      </c>
      <c r="D369" s="110">
        <f>AVERAGE(D366:D368)</f>
        <v>5.0336168608332253E-2</v>
      </c>
      <c r="G369" s="24">
        <v>35.15</v>
      </c>
    </row>
    <row r="370" spans="2:7" x14ac:dyDescent="0.25">
      <c r="B370" s="92"/>
      <c r="G370" s="24">
        <f>39.78</f>
        <v>39.78</v>
      </c>
    </row>
    <row r="371" spans="2:7" x14ac:dyDescent="0.25">
      <c r="B371" s="92"/>
      <c r="G371" s="110">
        <f>RATE(10/12,0,-G370,+G369)</f>
        <v>-0.13798929207041624</v>
      </c>
    </row>
    <row r="372" spans="2:7" x14ac:dyDescent="0.25">
      <c r="B372" s="92" t="s">
        <v>454</v>
      </c>
      <c r="C372" s="110">
        <f>D369-0.01</f>
        <v>4.0336168608332251E-2</v>
      </c>
      <c r="D372" s="110">
        <f>D369</f>
        <v>5.0336168608332253E-2</v>
      </c>
      <c r="E372" s="110">
        <f>D369+0.01</f>
        <v>6.0336168608332255E-2</v>
      </c>
      <c r="G372" s="92">
        <f>C378*(1+G371)</f>
        <v>32.868468293355029</v>
      </c>
    </row>
    <row r="373" spans="2:7" x14ac:dyDescent="0.25">
      <c r="B373" s="93" t="s">
        <v>455</v>
      </c>
      <c r="C373" s="24">
        <f>C327</f>
        <v>2.2917538767091896</v>
      </c>
      <c r="D373" s="24">
        <f>D327</f>
        <v>1.5406553398058251</v>
      </c>
      <c r="E373" s="24">
        <f>E327</f>
        <v>2.7870521172638436</v>
      </c>
    </row>
    <row r="374" spans="2:7" x14ac:dyDescent="0.25">
      <c r="B374" s="93" t="s">
        <v>456</v>
      </c>
      <c r="C374" s="24">
        <f>C373*(1+C372)</f>
        <v>2.3841944474889307</v>
      </c>
      <c r="D374" s="24">
        <f>D373*(1+D372)</f>
        <v>1.6182060267576188</v>
      </c>
      <c r="E374" s="24">
        <f>E373*(1+E372)</f>
        <v>2.9552121637312845</v>
      </c>
    </row>
    <row r="375" spans="2:7" x14ac:dyDescent="0.25">
      <c r="B375" s="93" t="s">
        <v>457</v>
      </c>
      <c r="C375" s="24">
        <f>C374*(1+C372)</f>
        <v>2.480363716717894</v>
      </c>
      <c r="D375" s="24">
        <f>D374*(1+D372)</f>
        <v>1.6996603181635099</v>
      </c>
      <c r="E375" s="24">
        <f>E374*(1+E372)</f>
        <v>3.1335183431155698</v>
      </c>
    </row>
    <row r="376" spans="2:7" x14ac:dyDescent="0.25">
      <c r="B376" s="93"/>
    </row>
    <row r="377" spans="2:7" x14ac:dyDescent="0.25">
      <c r="B377" s="92" t="s">
        <v>458</v>
      </c>
      <c r="C377" s="98">
        <f>C372*100</f>
        <v>4.0336168608332255</v>
      </c>
      <c r="D377" s="98">
        <f>D372*100</f>
        <v>5.0336168608332255</v>
      </c>
      <c r="E377" s="98">
        <f>E372*100</f>
        <v>6.0336168608332255</v>
      </c>
    </row>
    <row r="378" spans="2:7" x14ac:dyDescent="0.25">
      <c r="B378" s="92" t="s">
        <v>459</v>
      </c>
      <c r="C378" s="24">
        <f>C320</f>
        <v>38.130000000000003</v>
      </c>
      <c r="D378" s="24">
        <f>D320</f>
        <v>39.22</v>
      </c>
      <c r="E378" s="24">
        <f>E320</f>
        <v>36.380000000000003</v>
      </c>
    </row>
    <row r="379" spans="2:7" x14ac:dyDescent="0.25">
      <c r="B379" s="93" t="s">
        <v>460</v>
      </c>
      <c r="C379" s="24">
        <f>C373*C377</f>
        <v>9.2440570779740963</v>
      </c>
      <c r="D379" s="24">
        <f>D373*D377</f>
        <v>7.7550686951793439</v>
      </c>
      <c r="E379" s="24">
        <f>E373*E377</f>
        <v>16.816004646744066</v>
      </c>
    </row>
    <row r="380" spans="2:7" x14ac:dyDescent="0.25">
      <c r="B380" s="93" t="s">
        <v>461</v>
      </c>
      <c r="C380" s="24">
        <f>C374*C377</f>
        <v>9.6169269228963064</v>
      </c>
      <c r="D380" s="24">
        <f>D374*D377</f>
        <v>8.1454291405890924</v>
      </c>
      <c r="E380" s="24">
        <f>E374*E377</f>
        <v>17.830617938428517</v>
      </c>
    </row>
    <row r="381" spans="2:7" x14ac:dyDescent="0.25">
      <c r="B381" s="93" t="s">
        <v>462</v>
      </c>
      <c r="C381" s="24">
        <f>C375*C377</f>
        <v>10.004836908752264</v>
      </c>
      <c r="D381" s="24">
        <f>D375*D377</f>
        <v>8.5554388351970072</v>
      </c>
      <c r="E381" s="24">
        <f>E375*E377</f>
        <v>18.906449108752295</v>
      </c>
    </row>
    <row r="382" spans="2:7" x14ac:dyDescent="0.25">
      <c r="B382" s="92" t="s">
        <v>463</v>
      </c>
      <c r="C382" s="83">
        <f>RATE(5,0,-C378,C381)</f>
        <v>-0.23477589579903349</v>
      </c>
      <c r="D382" s="83">
        <f>RATE(5,0,-D378,D381)</f>
        <v>-0.26252561516314399</v>
      </c>
      <c r="E382" s="83">
        <f>RATE(5,0,-E378,E381)</f>
        <v>-0.12269732200314186</v>
      </c>
    </row>
    <row r="383" spans="2:7" x14ac:dyDescent="0.25">
      <c r="B383" s="92" t="s">
        <v>464</v>
      </c>
      <c r="C383" s="83">
        <f>C382+C342</f>
        <v>-0.19281418585935345</v>
      </c>
      <c r="D383" s="83">
        <f>D382+D342</f>
        <v>-0.22173010266951829</v>
      </c>
      <c r="E383" s="83">
        <f>E382+E342</f>
        <v>-7.8717113097149558E-2</v>
      </c>
      <c r="F383" s="24"/>
    </row>
    <row r="384" spans="2:7" x14ac:dyDescent="0.25">
      <c r="B384" s="92" t="s">
        <v>465</v>
      </c>
      <c r="C384" s="130" t="s">
        <v>470</v>
      </c>
      <c r="D384" s="130" t="s">
        <v>470</v>
      </c>
      <c r="E384" s="130" t="s">
        <v>470</v>
      </c>
    </row>
    <row r="386" spans="2:9" s="53" customFormat="1" x14ac:dyDescent="0.25">
      <c r="B386" s="66" t="str">
        <f>+B1</f>
        <v>Kraft Heinz Company</v>
      </c>
      <c r="C386" s="66"/>
      <c r="D386" s="66"/>
      <c r="E386" s="66"/>
      <c r="F386" s="66"/>
      <c r="G386" s="66"/>
      <c r="H386" s="66"/>
    </row>
    <row r="387" spans="2:9" s="53" customFormat="1" x14ac:dyDescent="0.25">
      <c r="B387" s="66" t="s">
        <v>184</v>
      </c>
      <c r="C387" s="66"/>
      <c r="D387" s="66"/>
      <c r="E387" s="66"/>
      <c r="F387" s="66"/>
      <c r="G387" s="66"/>
      <c r="H387" s="66"/>
    </row>
    <row r="388" spans="2:9" s="53" customFormat="1" x14ac:dyDescent="0.25">
      <c r="B388" s="66" t="str">
        <f>+B3</f>
        <v>in millions except per share data</v>
      </c>
      <c r="C388" s="66"/>
      <c r="D388" s="66"/>
      <c r="E388" s="66"/>
      <c r="F388" s="66"/>
      <c r="G388" s="66"/>
      <c r="H388" s="67"/>
      <c r="I388" s="65"/>
    </row>
    <row r="389" spans="2:9" s="53" customFormat="1" ht="15.75" thickBot="1" x14ac:dyDescent="0.3">
      <c r="B389" s="67" t="str">
        <f>+B4</f>
        <v>Fiscal year ended 12/31:</v>
      </c>
      <c r="C389" s="125">
        <f>C318</f>
        <v>2022</v>
      </c>
      <c r="D389" s="125">
        <f t="shared" ref="D389:H389" si="215">D318</f>
        <v>2021</v>
      </c>
      <c r="E389" s="125">
        <f t="shared" si="215"/>
        <v>2020</v>
      </c>
      <c r="F389" s="125">
        <f t="shared" si="215"/>
        <v>2019</v>
      </c>
      <c r="G389" s="125">
        <f t="shared" si="215"/>
        <v>2018</v>
      </c>
      <c r="H389" s="125">
        <f t="shared" si="215"/>
        <v>2017</v>
      </c>
      <c r="I389" s="77"/>
    </row>
    <row r="390" spans="2:9" s="20" customFormat="1" x14ac:dyDescent="0.25">
      <c r="B390" s="20" t="s">
        <v>185</v>
      </c>
      <c r="C390" s="23">
        <v>945</v>
      </c>
      <c r="D390" s="23">
        <v>1039</v>
      </c>
      <c r="E390" s="23">
        <v>1070</v>
      </c>
      <c r="F390" s="23">
        <v>1100</v>
      </c>
      <c r="G390" s="23">
        <v>1140</v>
      </c>
      <c r="H390" s="23">
        <v>1115</v>
      </c>
      <c r="I390" s="23"/>
    </row>
    <row r="391" spans="2:9" s="20" customFormat="1" x14ac:dyDescent="0.25">
      <c r="B391" s="20" t="s">
        <v>186</v>
      </c>
      <c r="C391" s="22">
        <v>127</v>
      </c>
      <c r="D391" s="22">
        <v>140</v>
      </c>
      <c r="E391" s="22">
        <v>119</v>
      </c>
      <c r="F391" s="22">
        <v>112</v>
      </c>
      <c r="G391" s="22">
        <v>109</v>
      </c>
      <c r="H391" s="22">
        <v>93</v>
      </c>
      <c r="I391" s="22"/>
    </row>
    <row r="392" spans="2:9" s="20" customFormat="1" x14ac:dyDescent="0.25">
      <c r="C392" s="21"/>
      <c r="D392" s="21"/>
      <c r="E392" s="21"/>
      <c r="F392" s="21"/>
      <c r="G392" s="21"/>
      <c r="H392" s="21"/>
      <c r="I392" s="21"/>
    </row>
    <row r="393" spans="2:9" x14ac:dyDescent="0.25">
      <c r="B393" s="19" t="s">
        <v>187</v>
      </c>
      <c r="C393" s="60">
        <v>200</v>
      </c>
      <c r="D393" s="60">
        <v>207</v>
      </c>
      <c r="E393" s="60">
        <v>219</v>
      </c>
      <c r="F393" s="60">
        <v>210</v>
      </c>
      <c r="G393" s="60">
        <v>218</v>
      </c>
      <c r="H393" s="60">
        <v>250</v>
      </c>
      <c r="I393" s="60"/>
    </row>
    <row r="394" spans="2:9" x14ac:dyDescent="0.25">
      <c r="B394" s="19" t="s">
        <v>188</v>
      </c>
      <c r="C394" s="19">
        <v>1161</v>
      </c>
      <c r="D394" s="19">
        <v>1002</v>
      </c>
      <c r="E394" s="19">
        <v>792</v>
      </c>
      <c r="F394" s="19">
        <v>1033</v>
      </c>
      <c r="G394" s="19">
        <v>1165</v>
      </c>
      <c r="H394" s="19">
        <v>1345</v>
      </c>
    </row>
    <row r="395" spans="2:9" x14ac:dyDescent="0.25">
      <c r="B395" s="19" t="s">
        <v>189</v>
      </c>
      <c r="C395" s="19">
        <f>+C396-C394-C393</f>
        <v>51681</v>
      </c>
      <c r="D395" s="19">
        <f t="shared" ref="D395:H395" si="216">+D396-D394-D393</f>
        <v>52107</v>
      </c>
      <c r="E395" s="19">
        <f t="shared" si="216"/>
        <v>52795</v>
      </c>
      <c r="F395" s="19">
        <f t="shared" si="216"/>
        <v>53693</v>
      </c>
      <c r="G395" s="19">
        <f t="shared" si="216"/>
        <v>52976</v>
      </c>
      <c r="H395" s="19">
        <f t="shared" si="216"/>
        <v>66564</v>
      </c>
    </row>
    <row r="396" spans="2:9" x14ac:dyDescent="0.25">
      <c r="B396" s="19" t="s">
        <v>190</v>
      </c>
      <c r="C396" s="57">
        <f>+C398-C397</f>
        <v>53042</v>
      </c>
      <c r="D396" s="57">
        <f t="shared" ref="D396:H396" si="217">+D398-D397</f>
        <v>53316</v>
      </c>
      <c r="E396" s="57">
        <f t="shared" si="217"/>
        <v>53806</v>
      </c>
      <c r="F396" s="57">
        <f t="shared" si="217"/>
        <v>54936</v>
      </c>
      <c r="G396" s="57">
        <f t="shared" si="217"/>
        <v>54359</v>
      </c>
      <c r="H396" s="57">
        <f t="shared" si="217"/>
        <v>68159</v>
      </c>
      <c r="I396" s="80"/>
    </row>
    <row r="397" spans="2:9" x14ac:dyDescent="0.25">
      <c r="B397" s="19" t="s">
        <v>191</v>
      </c>
      <c r="C397" s="19">
        <v>-4212</v>
      </c>
      <c r="D397" s="19">
        <v>-3868</v>
      </c>
      <c r="E397" s="19">
        <v>-3563</v>
      </c>
      <c r="F397" s="19">
        <v>-3187</v>
      </c>
      <c r="G397" s="19">
        <v>-2584</v>
      </c>
      <c r="H397" s="19">
        <v>-2089</v>
      </c>
    </row>
    <row r="398" spans="2:9" ht="15.75" thickBot="1" x14ac:dyDescent="0.3">
      <c r="B398" s="19" t="s">
        <v>22</v>
      </c>
      <c r="C398" s="74">
        <f t="shared" ref="C398:H398" si="218">+C54</f>
        <v>48830</v>
      </c>
      <c r="D398" s="74">
        <f t="shared" si="218"/>
        <v>49448</v>
      </c>
      <c r="E398" s="74">
        <f t="shared" si="218"/>
        <v>50243</v>
      </c>
      <c r="F398" s="74">
        <f t="shared" si="218"/>
        <v>51749</v>
      </c>
      <c r="G398" s="74">
        <f t="shared" si="218"/>
        <v>51775</v>
      </c>
      <c r="H398" s="74">
        <f t="shared" si="218"/>
        <v>66070</v>
      </c>
      <c r="I398" s="85"/>
    </row>
    <row r="399" spans="2:9" ht="15.75" thickTop="1" x14ac:dyDescent="0.25"/>
    <row r="400" spans="2:9" x14ac:dyDescent="0.25">
      <c r="B400" s="19" t="s">
        <v>192</v>
      </c>
      <c r="C400" s="60">
        <v>672</v>
      </c>
      <c r="D400" s="60">
        <v>671</v>
      </c>
      <c r="E400" s="60">
        <v>705</v>
      </c>
      <c r="F400" s="60">
        <v>708</v>
      </c>
      <c r="G400" s="60">
        <v>693</v>
      </c>
      <c r="H400" s="60">
        <v>680</v>
      </c>
      <c r="I400" s="60"/>
    </row>
    <row r="402" spans="2:25" x14ac:dyDescent="0.25">
      <c r="B402" s="19" t="s">
        <v>193</v>
      </c>
      <c r="C402" s="60">
        <v>668</v>
      </c>
      <c r="D402" s="60">
        <v>569</v>
      </c>
      <c r="E402" s="60">
        <v>562</v>
      </c>
      <c r="F402" s="60">
        <v>542</v>
      </c>
      <c r="G402" s="60">
        <v>0</v>
      </c>
      <c r="H402" s="60">
        <v>0</v>
      </c>
      <c r="I402" s="60"/>
    </row>
    <row r="403" spans="2:25" x14ac:dyDescent="0.25">
      <c r="B403" s="19" t="s">
        <v>194</v>
      </c>
      <c r="C403" s="19">
        <v>125</v>
      </c>
      <c r="D403" s="19">
        <v>133</v>
      </c>
      <c r="E403" s="19">
        <v>135</v>
      </c>
      <c r="F403" s="19">
        <v>147</v>
      </c>
      <c r="G403" s="19">
        <v>0</v>
      </c>
      <c r="H403" s="19">
        <v>0</v>
      </c>
    </row>
    <row r="404" spans="2:25" x14ac:dyDescent="0.25">
      <c r="B404" s="19" t="s">
        <v>195</v>
      </c>
      <c r="C404" s="60">
        <v>585</v>
      </c>
      <c r="D404" s="60">
        <v>484</v>
      </c>
      <c r="E404" s="60">
        <v>475</v>
      </c>
      <c r="F404" s="60">
        <v>454</v>
      </c>
      <c r="G404" s="60">
        <v>0</v>
      </c>
      <c r="H404" s="60">
        <v>0</v>
      </c>
      <c r="I404" s="60"/>
    </row>
    <row r="407" spans="2:25" x14ac:dyDescent="0.25">
      <c r="B407" s="66" t="str">
        <f>+B1</f>
        <v>Kraft Heinz Company</v>
      </c>
      <c r="C407" s="66" t="str">
        <f>+C1</f>
        <v>RECURRING</v>
      </c>
      <c r="D407" s="66"/>
      <c r="E407" s="66"/>
      <c r="F407" s="66"/>
      <c r="G407" s="66"/>
      <c r="H407" s="66"/>
      <c r="I407" s="53"/>
    </row>
    <row r="408" spans="2:25" x14ac:dyDescent="0.25">
      <c r="B408" s="66" t="s">
        <v>309</v>
      </c>
      <c r="C408" s="66"/>
      <c r="D408" s="66"/>
      <c r="E408" s="66"/>
      <c r="F408" s="66"/>
      <c r="G408" s="66"/>
      <c r="H408" s="66"/>
      <c r="I408" s="53"/>
    </row>
    <row r="409" spans="2:25" x14ac:dyDescent="0.25">
      <c r="B409" s="66" t="str">
        <f>+B3</f>
        <v>in millions except per share data</v>
      </c>
      <c r="C409" s="66"/>
      <c r="D409" s="66"/>
      <c r="E409" s="66"/>
      <c r="F409" s="66"/>
      <c r="G409" s="66" t="s">
        <v>262</v>
      </c>
      <c r="H409" s="72" t="s">
        <v>66</v>
      </c>
      <c r="I409" s="65"/>
    </row>
    <row r="410" spans="2:25" ht="15.75" thickBot="1" x14ac:dyDescent="0.3">
      <c r="B410" s="67" t="str">
        <f>+B4</f>
        <v>Fiscal year ended 12/31:</v>
      </c>
      <c r="C410" s="69">
        <v>2022</v>
      </c>
      <c r="D410" s="69">
        <v>2021</v>
      </c>
      <c r="E410" s="69">
        <v>2020</v>
      </c>
      <c r="F410" s="69">
        <v>2019</v>
      </c>
      <c r="G410" s="69">
        <v>2018</v>
      </c>
      <c r="H410" s="69">
        <v>2017</v>
      </c>
      <c r="I410" s="77"/>
    </row>
    <row r="411" spans="2:25" x14ac:dyDescent="0.25">
      <c r="B411" s="54" t="s">
        <v>79</v>
      </c>
      <c r="C411" s="60">
        <v>0</v>
      </c>
      <c r="D411" s="60">
        <v>0</v>
      </c>
      <c r="E411" s="60">
        <v>0</v>
      </c>
      <c r="F411" s="60">
        <v>0</v>
      </c>
      <c r="G411" s="60">
        <v>152</v>
      </c>
      <c r="H411" s="60">
        <v>538</v>
      </c>
      <c r="I411" s="60"/>
      <c r="K411" s="83">
        <f t="shared" ref="K411:P414" si="219">+C411/C$21</f>
        <v>0</v>
      </c>
      <c r="L411" s="83">
        <f t="shared" si="219"/>
        <v>0</v>
      </c>
      <c r="M411" s="83">
        <f t="shared" si="219"/>
        <v>0</v>
      </c>
      <c r="N411" s="83">
        <f t="shared" si="219"/>
        <v>0</v>
      </c>
      <c r="O411" s="83">
        <f t="shared" si="219"/>
        <v>1.4691526275601434E-3</v>
      </c>
      <c r="P411" s="83">
        <f t="shared" si="219"/>
        <v>4.4798987442960401E-3</v>
      </c>
      <c r="Q411" s="83"/>
      <c r="S411" s="83">
        <f t="shared" ref="S411:S414" si="220">RATE(5,0,-H411,C411)</f>
        <v>-0.99999940914518248</v>
      </c>
      <c r="T411" s="83" t="e">
        <f t="shared" ref="T411:T414" si="221">AVERAGE(U411:Y411)</f>
        <v>#DIV/0!</v>
      </c>
      <c r="U411" s="83" t="e">
        <f t="shared" ref="U411:Y414" si="222">(+C411-D411)/D411</f>
        <v>#DIV/0!</v>
      </c>
      <c r="V411" s="83" t="e">
        <f t="shared" si="222"/>
        <v>#DIV/0!</v>
      </c>
      <c r="W411" s="83" t="e">
        <f t="shared" si="222"/>
        <v>#DIV/0!</v>
      </c>
      <c r="X411" s="83">
        <f t="shared" si="222"/>
        <v>-1</v>
      </c>
      <c r="Y411" s="83">
        <f t="shared" si="222"/>
        <v>-0.71747211895910779</v>
      </c>
    </row>
    <row r="412" spans="2:25" x14ac:dyDescent="0.25">
      <c r="B412" s="54" t="s">
        <v>80</v>
      </c>
      <c r="C412" s="19">
        <v>240</v>
      </c>
      <c r="D412" s="19">
        <v>136</v>
      </c>
      <c r="E412" s="19">
        <v>351</v>
      </c>
      <c r="F412" s="19">
        <v>384</v>
      </c>
      <c r="G412" s="19">
        <v>400</v>
      </c>
      <c r="H412" s="19">
        <v>345</v>
      </c>
      <c r="K412" s="83">
        <f t="shared" si="219"/>
        <v>2.6515528156176461E-3</v>
      </c>
      <c r="L412" s="83">
        <f t="shared" si="219"/>
        <v>1.4561963295286636E-3</v>
      </c>
      <c r="M412" s="83">
        <f t="shared" si="219"/>
        <v>3.5159771611739956E-3</v>
      </c>
      <c r="N412" s="83">
        <f t="shared" si="219"/>
        <v>3.7851158206012813E-3</v>
      </c>
      <c r="O412" s="83">
        <f t="shared" si="219"/>
        <v>3.8661911251582724E-3</v>
      </c>
      <c r="P412" s="83">
        <f t="shared" si="219"/>
        <v>2.8727975218998769E-3</v>
      </c>
      <c r="Q412" s="83"/>
      <c r="S412" s="83">
        <f t="shared" si="220"/>
        <v>-7.0009677432707695E-2</v>
      </c>
      <c r="T412" s="83">
        <f t="shared" si="221"/>
        <v>3.7130611934480209E-2</v>
      </c>
      <c r="U412" s="83">
        <f t="shared" si="222"/>
        <v>0.76470588235294112</v>
      </c>
      <c r="V412" s="83">
        <f t="shared" si="222"/>
        <v>-0.61253561253561251</v>
      </c>
      <c r="W412" s="83">
        <f t="shared" si="222"/>
        <v>-8.59375E-2</v>
      </c>
      <c r="X412" s="83">
        <f t="shared" si="222"/>
        <v>-0.04</v>
      </c>
      <c r="Y412" s="83">
        <f t="shared" si="222"/>
        <v>0.15942028985507245</v>
      </c>
    </row>
    <row r="413" spans="2:25" x14ac:dyDescent="0.25">
      <c r="B413" s="54" t="s">
        <v>20</v>
      </c>
      <c r="C413" s="19">
        <v>842</v>
      </c>
      <c r="D413" s="19">
        <v>716</v>
      </c>
      <c r="E413" s="19">
        <v>574</v>
      </c>
      <c r="F413" s="19">
        <v>618</v>
      </c>
      <c r="G413" s="19">
        <v>1221</v>
      </c>
      <c r="H413" s="19">
        <v>655</v>
      </c>
      <c r="K413" s="83">
        <f t="shared" si="219"/>
        <v>9.3025311281252424E-3</v>
      </c>
      <c r="L413" s="83">
        <f t="shared" si="219"/>
        <v>7.6664453819303164E-3</v>
      </c>
      <c r="M413" s="83">
        <f t="shared" si="219"/>
        <v>5.7497746168486425E-3</v>
      </c>
      <c r="N413" s="83">
        <f t="shared" si="219"/>
        <v>6.091670773780187E-3</v>
      </c>
      <c r="O413" s="83">
        <f t="shared" si="219"/>
        <v>1.1801548409545625E-2</v>
      </c>
      <c r="P413" s="83">
        <f t="shared" si="219"/>
        <v>5.4541518169403461E-3</v>
      </c>
      <c r="Q413" s="83"/>
      <c r="S413" s="83">
        <f t="shared" si="220"/>
        <v>5.1511818464607374E-2</v>
      </c>
      <c r="T413" s="83">
        <f t="shared" si="221"/>
        <v>0.1444863291514033</v>
      </c>
      <c r="U413" s="83">
        <f t="shared" si="222"/>
        <v>0.17597765363128492</v>
      </c>
      <c r="V413" s="83">
        <f t="shared" si="222"/>
        <v>0.24738675958188153</v>
      </c>
      <c r="W413" s="83">
        <f t="shared" si="222"/>
        <v>-7.1197411003236247E-2</v>
      </c>
      <c r="X413" s="83">
        <f t="shared" si="222"/>
        <v>-0.49385749385749383</v>
      </c>
      <c r="Y413" s="83">
        <f t="shared" si="222"/>
        <v>0.8641221374045801</v>
      </c>
    </row>
    <row r="414" spans="2:25" x14ac:dyDescent="0.25">
      <c r="B414" s="54" t="s">
        <v>81</v>
      </c>
      <c r="C414" s="19">
        <v>4</v>
      </c>
      <c r="D414" s="19">
        <v>11</v>
      </c>
      <c r="E414" s="19">
        <v>1863</v>
      </c>
      <c r="F414" s="19">
        <v>122</v>
      </c>
      <c r="G414" s="19">
        <v>1376</v>
      </c>
      <c r="H414" s="19">
        <v>353</v>
      </c>
      <c r="K414" s="84">
        <f t="shared" si="219"/>
        <v>4.4192546926960765E-5</v>
      </c>
      <c r="L414" s="84">
        <f t="shared" si="219"/>
        <v>1.1778058547658308E-4</v>
      </c>
      <c r="M414" s="84">
        <f t="shared" si="219"/>
        <v>1.8661724932385056E-2</v>
      </c>
      <c r="N414" s="84">
        <f t="shared" si="219"/>
        <v>1.2025628388368655E-3</v>
      </c>
      <c r="O414" s="84">
        <f t="shared" si="219"/>
        <v>1.3299697470544457E-2</v>
      </c>
      <c r="P414" s="84">
        <f t="shared" si="219"/>
        <v>2.9394131166105984E-3</v>
      </c>
      <c r="Q414" s="84"/>
      <c r="R414" s="63"/>
      <c r="S414" s="84">
        <f t="shared" si="220"/>
        <v>-0.59181498497391294</v>
      </c>
      <c r="T414" s="84">
        <f t="shared" si="221"/>
        <v>2.9253424819919362</v>
      </c>
      <c r="U414" s="84">
        <f t="shared" si="222"/>
        <v>-0.63636363636363635</v>
      </c>
      <c r="V414" s="84">
        <f t="shared" si="222"/>
        <v>-0.99409554482018248</v>
      </c>
      <c r="W414" s="84">
        <f t="shared" si="222"/>
        <v>14.270491803278688</v>
      </c>
      <c r="X414" s="84">
        <f t="shared" si="222"/>
        <v>-0.91133720930232553</v>
      </c>
      <c r="Y414" s="84">
        <f t="shared" si="222"/>
        <v>2.8980169971671388</v>
      </c>
    </row>
    <row r="415" spans="2:25" ht="15.75" thickBot="1" x14ac:dyDescent="0.3">
      <c r="B415" s="19" t="s">
        <v>20</v>
      </c>
      <c r="C415" s="74">
        <f>SUM(C411:C414)</f>
        <v>1086</v>
      </c>
      <c r="D415" s="74">
        <f t="shared" ref="D415:H415" si="223">SUM(D411:D414)</f>
        <v>863</v>
      </c>
      <c r="E415" s="74">
        <f t="shared" si="223"/>
        <v>2788</v>
      </c>
      <c r="F415" s="74">
        <f t="shared" si="223"/>
        <v>1124</v>
      </c>
      <c r="G415" s="74">
        <f t="shared" si="223"/>
        <v>3149</v>
      </c>
      <c r="H415" s="74">
        <f t="shared" si="223"/>
        <v>1891</v>
      </c>
      <c r="I415" s="85"/>
    </row>
    <row r="416" spans="2:25" ht="15.75" thickTop="1" x14ac:dyDescent="0.25"/>
    <row r="417" spans="2:25" x14ac:dyDescent="0.25">
      <c r="B417" s="54" t="s">
        <v>23</v>
      </c>
      <c r="C417" s="60">
        <v>30833</v>
      </c>
      <c r="D417" s="60">
        <v>31296</v>
      </c>
      <c r="E417" s="60">
        <v>33089</v>
      </c>
      <c r="F417" s="60">
        <v>35546</v>
      </c>
      <c r="G417" s="60">
        <v>36503</v>
      </c>
      <c r="H417" s="60">
        <v>44825</v>
      </c>
      <c r="I417" s="60"/>
      <c r="K417" s="83">
        <f t="shared" ref="K417:P418" si="224">+C417/C$21</f>
        <v>0.34064719984974534</v>
      </c>
      <c r="L417" s="83">
        <f t="shared" si="224"/>
        <v>0.33509647300683126</v>
      </c>
      <c r="M417" s="83">
        <f t="shared" si="224"/>
        <v>0.3314534709005309</v>
      </c>
      <c r="N417" s="83">
        <f t="shared" si="224"/>
        <v>0.35037949728930506</v>
      </c>
      <c r="O417" s="83">
        <f t="shared" si="224"/>
        <v>0.35281893660413105</v>
      </c>
      <c r="P417" s="83">
        <f t="shared" si="224"/>
        <v>0.37325550411351299</v>
      </c>
      <c r="Q417" s="83"/>
      <c r="S417" s="83">
        <f t="shared" ref="S417:S418" si="225">RATE(5,0,-H417,C417)</f>
        <v>-7.2104439321893851E-2</v>
      </c>
      <c r="T417" s="83">
        <f t="shared" ref="T417:T418" si="226">AVERAGE(U417:Y417)</f>
        <v>-6.999509320131285E-2</v>
      </c>
      <c r="U417" s="83">
        <f t="shared" ref="U417:Y418" si="227">(+C417-D417)/D417</f>
        <v>-1.4794222903885481E-2</v>
      </c>
      <c r="V417" s="83">
        <f t="shared" si="227"/>
        <v>-5.4187192118226604E-2</v>
      </c>
      <c r="W417" s="83">
        <f t="shared" si="227"/>
        <v>-6.9121701457266635E-2</v>
      </c>
      <c r="X417" s="83">
        <f t="shared" si="227"/>
        <v>-2.6217023258362327E-2</v>
      </c>
      <c r="Y417" s="83">
        <f t="shared" si="227"/>
        <v>-0.1856553262688232</v>
      </c>
    </row>
    <row r="418" spans="2:25" x14ac:dyDescent="0.25">
      <c r="B418" s="54" t="s">
        <v>83</v>
      </c>
      <c r="C418" s="19">
        <v>42649</v>
      </c>
      <c r="D418" s="19">
        <v>43542</v>
      </c>
      <c r="E418" s="19">
        <v>46667</v>
      </c>
      <c r="F418" s="19">
        <v>48652</v>
      </c>
      <c r="G418" s="19">
        <v>49468</v>
      </c>
      <c r="H418" s="19">
        <v>59432</v>
      </c>
      <c r="K418" s="83">
        <f t="shared" si="224"/>
        <v>0.47119198347198743</v>
      </c>
      <c r="L418" s="83">
        <f t="shared" si="224"/>
        <v>0.46621838662012549</v>
      </c>
      <c r="M418" s="83">
        <f t="shared" si="224"/>
        <v>0.46746468997295404</v>
      </c>
      <c r="N418" s="83">
        <f t="shared" si="224"/>
        <v>0.4795662888122228</v>
      </c>
      <c r="O418" s="83">
        <f t="shared" si="224"/>
        <v>0.47813185644832351</v>
      </c>
      <c r="P418" s="83">
        <f t="shared" si="224"/>
        <v>0.49488725310595211</v>
      </c>
      <c r="Q418" s="83"/>
      <c r="S418" s="83">
        <f t="shared" si="225"/>
        <v>-6.4211505046658401E-2</v>
      </c>
      <c r="T418" s="83">
        <f t="shared" si="226"/>
        <v>-6.2484401974492662E-2</v>
      </c>
      <c r="U418" s="83">
        <f t="shared" si="227"/>
        <v>-2.050893390289835E-2</v>
      </c>
      <c r="V418" s="83">
        <f t="shared" si="227"/>
        <v>-6.6963807401375711E-2</v>
      </c>
      <c r="W418" s="83">
        <f t="shared" si="227"/>
        <v>-4.0799967113376634E-2</v>
      </c>
      <c r="X418" s="83">
        <f t="shared" si="227"/>
        <v>-1.6495512250343656E-2</v>
      </c>
      <c r="Y418" s="83">
        <f t="shared" si="227"/>
        <v>-0.16765378920446897</v>
      </c>
    </row>
    <row r="419" spans="2:25" ht="15.75" thickBot="1" x14ac:dyDescent="0.3">
      <c r="B419" s="19" t="s">
        <v>310</v>
      </c>
      <c r="C419" s="74">
        <f>SUM(C417:C418)</f>
        <v>73482</v>
      </c>
      <c r="D419" s="74">
        <f t="shared" ref="D419:H419" si="228">SUM(D417:D418)</f>
        <v>74838</v>
      </c>
      <c r="E419" s="74">
        <f t="shared" si="228"/>
        <v>79756</v>
      </c>
      <c r="F419" s="74">
        <f t="shared" si="228"/>
        <v>84198</v>
      </c>
      <c r="G419" s="74">
        <f t="shared" si="228"/>
        <v>85971</v>
      </c>
      <c r="H419" s="74">
        <f t="shared" si="228"/>
        <v>104257</v>
      </c>
      <c r="I419" s="85"/>
    </row>
    <row r="420" spans="2:25" ht="15.75" thickTop="1" x14ac:dyDescent="0.25"/>
    <row r="421" spans="2:25" x14ac:dyDescent="0.25">
      <c r="B421" s="54" t="s">
        <v>311</v>
      </c>
      <c r="C421" s="19">
        <v>2394</v>
      </c>
      <c r="D421" s="19">
        <v>2756</v>
      </c>
      <c r="E421" s="19">
        <v>2376</v>
      </c>
      <c r="F421" s="19">
        <v>2100</v>
      </c>
      <c r="G421" s="19">
        <v>1337</v>
      </c>
      <c r="H421" s="19">
        <v>1573</v>
      </c>
    </row>
    <row r="422" spans="2:25" x14ac:dyDescent="0.25">
      <c r="B422" s="54" t="s">
        <v>312</v>
      </c>
      <c r="C422" s="19">
        <f>-C402</f>
        <v>-668</v>
      </c>
      <c r="D422" s="19">
        <f t="shared" ref="D422:H422" si="229">-D402</f>
        <v>-569</v>
      </c>
      <c r="E422" s="19">
        <f t="shared" si="229"/>
        <v>-562</v>
      </c>
      <c r="F422" s="19">
        <f t="shared" si="229"/>
        <v>-542</v>
      </c>
      <c r="G422" s="19">
        <f t="shared" si="229"/>
        <v>0</v>
      </c>
      <c r="H422" s="19">
        <f t="shared" si="229"/>
        <v>0</v>
      </c>
    </row>
    <row r="423" spans="2:25" ht="15.75" thickBot="1" x14ac:dyDescent="0.3">
      <c r="B423" s="19" t="s">
        <v>313</v>
      </c>
      <c r="C423" s="74">
        <f>SUM(C421:C422)</f>
        <v>1726</v>
      </c>
      <c r="D423" s="74">
        <f t="shared" ref="D423:H423" si="230">SUM(D421:D422)</f>
        <v>2187</v>
      </c>
      <c r="E423" s="74">
        <f t="shared" si="230"/>
        <v>1814</v>
      </c>
      <c r="F423" s="74">
        <f t="shared" si="230"/>
        <v>1558</v>
      </c>
      <c r="G423" s="74">
        <f t="shared" si="230"/>
        <v>1337</v>
      </c>
      <c r="H423" s="74">
        <f t="shared" si="230"/>
        <v>1573</v>
      </c>
    </row>
    <row r="424" spans="2:25" ht="15.75" thickTop="1" x14ac:dyDescent="0.25"/>
    <row r="425" spans="2:25" x14ac:dyDescent="0.25">
      <c r="B425" s="54" t="s">
        <v>86</v>
      </c>
      <c r="C425" s="60">
        <v>6</v>
      </c>
      <c r="D425" s="60">
        <v>14</v>
      </c>
      <c r="E425" s="60">
        <v>6</v>
      </c>
      <c r="F425" s="60">
        <v>6</v>
      </c>
      <c r="G425" s="60">
        <v>21</v>
      </c>
      <c r="H425" s="60">
        <v>462</v>
      </c>
      <c r="I425" s="60"/>
      <c r="K425" s="83">
        <f t="shared" ref="K425:P426" si="231">+C425/C$21</f>
        <v>6.6288820390441154E-5</v>
      </c>
      <c r="L425" s="83">
        <f t="shared" si="231"/>
        <v>1.4990256333383302E-4</v>
      </c>
      <c r="M425" s="83">
        <f t="shared" si="231"/>
        <v>6.0102173695281982E-5</v>
      </c>
      <c r="N425" s="83">
        <f t="shared" si="231"/>
        <v>5.914243469689502E-5</v>
      </c>
      <c r="O425" s="83">
        <f t="shared" si="231"/>
        <v>2.0297503407080928E-4</v>
      </c>
      <c r="P425" s="83">
        <f t="shared" si="231"/>
        <v>3.8470505945441828E-3</v>
      </c>
      <c r="Q425" s="83"/>
      <c r="S425" s="83">
        <f>RATE(5,0,-H425,C425)</f>
        <v>-0.58052908347039545</v>
      </c>
      <c r="T425" s="83">
        <f t="shared" ref="T425:T440" si="232">AVERAGE(U425:Y425)</f>
        <v>-0.1813852813852814</v>
      </c>
      <c r="U425" s="83">
        <f t="shared" ref="U425:Y426" si="233">(+C425-D425)/D425</f>
        <v>-0.5714285714285714</v>
      </c>
      <c r="V425" s="83">
        <f t="shared" si="233"/>
        <v>1.3333333333333333</v>
      </c>
      <c r="W425" s="83">
        <f t="shared" si="233"/>
        <v>0</v>
      </c>
      <c r="X425" s="83">
        <f t="shared" si="233"/>
        <v>-0.7142857142857143</v>
      </c>
      <c r="Y425" s="83">
        <f t="shared" si="233"/>
        <v>-0.95454545454545459</v>
      </c>
    </row>
    <row r="426" spans="2:25" x14ac:dyDescent="0.25">
      <c r="B426" s="54" t="s">
        <v>87</v>
      </c>
      <c r="C426" s="19">
        <v>831</v>
      </c>
      <c r="D426" s="19">
        <v>740</v>
      </c>
      <c r="E426" s="19">
        <v>230</v>
      </c>
      <c r="F426" s="19">
        <v>1022</v>
      </c>
      <c r="G426" s="19">
        <v>377</v>
      </c>
      <c r="H426" s="19">
        <v>2733</v>
      </c>
      <c r="K426" s="83">
        <f t="shared" si="231"/>
        <v>9.1810016240760992E-3</v>
      </c>
      <c r="L426" s="83">
        <f t="shared" si="231"/>
        <v>7.9234212047883164E-3</v>
      </c>
      <c r="M426" s="83">
        <f t="shared" si="231"/>
        <v>2.3039166583191427E-3</v>
      </c>
      <c r="N426" s="83">
        <f t="shared" si="231"/>
        <v>1.0073928043371119E-2</v>
      </c>
      <c r="O426" s="83">
        <f t="shared" si="231"/>
        <v>3.6438851354616717E-3</v>
      </c>
      <c r="P426" s="83">
        <f t="shared" si="231"/>
        <v>2.2757552543050327E-2</v>
      </c>
      <c r="Q426" s="83"/>
      <c r="S426" s="83">
        <f>RATE(5,0,-H426,C426)</f>
        <v>-0.21188012748640178</v>
      </c>
      <c r="T426" s="83">
        <f t="shared" si="232"/>
        <v>0.48284643684593676</v>
      </c>
      <c r="U426" s="83">
        <f t="shared" si="233"/>
        <v>0.12297297297297298</v>
      </c>
      <c r="V426" s="83">
        <f t="shared" si="233"/>
        <v>2.2173913043478262</v>
      </c>
      <c r="W426" s="83">
        <f t="shared" si="233"/>
        <v>-0.77495107632093929</v>
      </c>
      <c r="X426" s="83">
        <f t="shared" si="233"/>
        <v>1.7108753315649867</v>
      </c>
      <c r="Y426" s="83">
        <f t="shared" si="233"/>
        <v>-0.86205634833516287</v>
      </c>
    </row>
    <row r="427" spans="2:25" ht="15.75" thickBot="1" x14ac:dyDescent="0.3">
      <c r="B427" s="62" t="s">
        <v>314</v>
      </c>
      <c r="C427" s="74">
        <f>SUM(C425:C426)</f>
        <v>837</v>
      </c>
      <c r="D427" s="74">
        <f t="shared" ref="D427:H427" si="234">SUM(D425:D426)</f>
        <v>754</v>
      </c>
      <c r="E427" s="74">
        <f t="shared" si="234"/>
        <v>236</v>
      </c>
      <c r="F427" s="74">
        <f t="shared" si="234"/>
        <v>1028</v>
      </c>
      <c r="G427" s="74">
        <f t="shared" si="234"/>
        <v>398</v>
      </c>
      <c r="H427" s="74">
        <f t="shared" si="234"/>
        <v>3195</v>
      </c>
      <c r="I427" s="85"/>
      <c r="K427" s="83"/>
      <c r="L427" s="83"/>
      <c r="M427" s="83"/>
      <c r="N427" s="83"/>
      <c r="O427" s="83"/>
      <c r="P427" s="83"/>
      <c r="Q427" s="83"/>
      <c r="S427" s="83"/>
      <c r="T427" s="83"/>
      <c r="U427" s="83"/>
      <c r="V427" s="83"/>
      <c r="W427" s="83"/>
      <c r="X427" s="83"/>
      <c r="Y427" s="83"/>
    </row>
    <row r="428" spans="2:25" ht="15.75" thickTop="1" x14ac:dyDescent="0.25">
      <c r="B428" s="54"/>
      <c r="K428" s="83"/>
      <c r="L428" s="83"/>
      <c r="M428" s="83"/>
      <c r="N428" s="83"/>
      <c r="O428" s="83"/>
      <c r="P428" s="83"/>
      <c r="Q428" s="83"/>
      <c r="S428" s="83"/>
      <c r="T428" s="83"/>
      <c r="U428" s="83"/>
      <c r="V428" s="83"/>
      <c r="W428" s="83"/>
      <c r="X428" s="83"/>
      <c r="Y428" s="83"/>
    </row>
    <row r="429" spans="2:25" x14ac:dyDescent="0.25">
      <c r="B429" s="54" t="s">
        <v>89</v>
      </c>
      <c r="C429" s="60">
        <v>749</v>
      </c>
      <c r="D429" s="60">
        <v>804</v>
      </c>
      <c r="E429" s="60">
        <v>946</v>
      </c>
      <c r="F429" s="60">
        <v>647</v>
      </c>
      <c r="G429" s="60">
        <v>722</v>
      </c>
      <c r="H429" s="60">
        <v>689</v>
      </c>
      <c r="I429" s="60"/>
      <c r="K429" s="83">
        <f t="shared" ref="K429:P433" si="235">+C429/C$21</f>
        <v>8.2750544120734036E-3</v>
      </c>
      <c r="L429" s="83">
        <f t="shared" si="235"/>
        <v>8.6086900657429809E-3</v>
      </c>
      <c r="M429" s="83">
        <f t="shared" si="235"/>
        <v>9.4761093859561246E-3</v>
      </c>
      <c r="N429" s="83">
        <f t="shared" si="235"/>
        <v>6.3775258748151797E-3</v>
      </c>
      <c r="O429" s="83">
        <f t="shared" si="235"/>
        <v>6.9784749809106809E-3</v>
      </c>
      <c r="P429" s="83">
        <f t="shared" si="235"/>
        <v>5.7372680944609133E-3</v>
      </c>
      <c r="Q429" s="83"/>
      <c r="S429" s="83">
        <f>RATE(5,0,-H429,C429)</f>
        <v>1.6839759291933765E-2</v>
      </c>
      <c r="T429" s="83">
        <f t="shared" si="232"/>
        <v>3.7527327422520657E-2</v>
      </c>
      <c r="U429" s="83">
        <f t="shared" ref="U429:Y433" si="236">(+C429-D429)/D429</f>
        <v>-6.8407960199004969E-2</v>
      </c>
      <c r="V429" s="83">
        <f t="shared" si="236"/>
        <v>-0.15010570824524314</v>
      </c>
      <c r="W429" s="83">
        <f t="shared" si="236"/>
        <v>0.46213292117465227</v>
      </c>
      <c r="X429" s="83">
        <f t="shared" si="236"/>
        <v>-0.1038781163434903</v>
      </c>
      <c r="Y429" s="83">
        <f t="shared" si="236"/>
        <v>4.7895500725689405E-2</v>
      </c>
    </row>
    <row r="430" spans="2:25" x14ac:dyDescent="0.25">
      <c r="B430" s="54" t="s">
        <v>90</v>
      </c>
      <c r="C430" s="19">
        <v>264</v>
      </c>
      <c r="D430" s="19">
        <v>268</v>
      </c>
      <c r="E430" s="19">
        <v>358</v>
      </c>
      <c r="F430" s="19">
        <v>384</v>
      </c>
      <c r="G430" s="19">
        <v>408</v>
      </c>
      <c r="H430" s="19">
        <v>419</v>
      </c>
      <c r="K430" s="83">
        <f t="shared" si="235"/>
        <v>2.9167080971794108E-3</v>
      </c>
      <c r="L430" s="83">
        <f t="shared" si="235"/>
        <v>2.8695633552476606E-3</v>
      </c>
      <c r="M430" s="83">
        <f t="shared" si="235"/>
        <v>3.5860963638184914E-3</v>
      </c>
      <c r="N430" s="83">
        <f t="shared" si="235"/>
        <v>3.7851158206012813E-3</v>
      </c>
      <c r="O430" s="83">
        <f t="shared" si="235"/>
        <v>3.9435149476614376E-3</v>
      </c>
      <c r="P430" s="83">
        <f t="shared" si="235"/>
        <v>3.4889917729740531E-3</v>
      </c>
      <c r="Q430" s="83"/>
      <c r="S430" s="83">
        <f>RATE(5,0,-H430,C430)</f>
        <v>-8.8245362884069409E-2</v>
      </c>
      <c r="T430" s="83">
        <f t="shared" si="232"/>
        <v>-8.3821373443535047E-2</v>
      </c>
      <c r="U430" s="83">
        <f t="shared" si="236"/>
        <v>-1.4925373134328358E-2</v>
      </c>
      <c r="V430" s="83">
        <f t="shared" si="236"/>
        <v>-0.25139664804469275</v>
      </c>
      <c r="W430" s="83">
        <f t="shared" si="236"/>
        <v>-6.7708333333333329E-2</v>
      </c>
      <c r="X430" s="83">
        <f t="shared" si="236"/>
        <v>-5.8823529411764705E-2</v>
      </c>
      <c r="Y430" s="83">
        <f t="shared" si="236"/>
        <v>-2.6252983293556086E-2</v>
      </c>
    </row>
    <row r="431" spans="2:25" x14ac:dyDescent="0.25">
      <c r="B431" s="54" t="s">
        <v>91</v>
      </c>
      <c r="C431" s="19">
        <v>136</v>
      </c>
      <c r="D431" s="19">
        <v>541</v>
      </c>
      <c r="E431" s="19">
        <v>0</v>
      </c>
      <c r="F431" s="19">
        <v>0</v>
      </c>
      <c r="G431" s="19">
        <v>0</v>
      </c>
      <c r="H431" s="19">
        <v>0</v>
      </c>
      <c r="K431" s="83">
        <f t="shared" si="235"/>
        <v>1.5025465955166661E-3</v>
      </c>
      <c r="L431" s="83">
        <f t="shared" si="235"/>
        <v>5.7926633402574038E-3</v>
      </c>
      <c r="M431" s="83">
        <f t="shared" si="235"/>
        <v>0</v>
      </c>
      <c r="N431" s="83">
        <f t="shared" si="235"/>
        <v>0</v>
      </c>
      <c r="O431" s="83">
        <f t="shared" si="235"/>
        <v>0</v>
      </c>
      <c r="P431" s="83">
        <f t="shared" si="235"/>
        <v>0</v>
      </c>
      <c r="Q431" s="83"/>
      <c r="S431" s="83" t="e">
        <f>RATE(5,0,-H431,C431)</f>
        <v>#NUM!</v>
      </c>
      <c r="T431" s="83" t="e">
        <f t="shared" si="232"/>
        <v>#DIV/0!</v>
      </c>
      <c r="U431" s="83">
        <f t="shared" si="236"/>
        <v>-0.74861367837338266</v>
      </c>
      <c r="V431" s="83" t="e">
        <f t="shared" si="236"/>
        <v>#DIV/0!</v>
      </c>
      <c r="W431" s="83" t="e">
        <f t="shared" si="236"/>
        <v>#DIV/0!</v>
      </c>
      <c r="X431" s="83" t="e">
        <f t="shared" si="236"/>
        <v>#DIV/0!</v>
      </c>
      <c r="Y431" s="83" t="e">
        <f t="shared" si="236"/>
        <v>#DIV/0!</v>
      </c>
    </row>
    <row r="432" spans="2:25" x14ac:dyDescent="0.25">
      <c r="B432" s="54" t="s">
        <v>92</v>
      </c>
      <c r="C432" s="19">
        <v>0</v>
      </c>
      <c r="D432" s="19">
        <v>0</v>
      </c>
      <c r="E432" s="19">
        <v>17</v>
      </c>
      <c r="F432" s="19">
        <v>9</v>
      </c>
      <c r="G432" s="19">
        <v>55</v>
      </c>
      <c r="H432" s="19">
        <v>0</v>
      </c>
      <c r="K432" s="83">
        <f t="shared" si="235"/>
        <v>0</v>
      </c>
      <c r="L432" s="83">
        <f t="shared" si="235"/>
        <v>0</v>
      </c>
      <c r="M432" s="83">
        <f t="shared" si="235"/>
        <v>1.7028949213663226E-4</v>
      </c>
      <c r="N432" s="83">
        <f t="shared" si="235"/>
        <v>8.8713652045342527E-5</v>
      </c>
      <c r="O432" s="83">
        <f t="shared" si="235"/>
        <v>5.3160127970926241E-4</v>
      </c>
      <c r="P432" s="83">
        <f t="shared" si="235"/>
        <v>0</v>
      </c>
      <c r="Q432" s="83"/>
      <c r="S432" s="83" t="e">
        <f>RATE(5,0,-H432,C432)</f>
        <v>#NUM!</v>
      </c>
      <c r="T432" s="83" t="e">
        <f t="shared" si="232"/>
        <v>#DIV/0!</v>
      </c>
      <c r="U432" s="83" t="e">
        <f t="shared" si="236"/>
        <v>#DIV/0!</v>
      </c>
      <c r="V432" s="83">
        <f t="shared" si="236"/>
        <v>-1</v>
      </c>
      <c r="W432" s="83">
        <f t="shared" si="236"/>
        <v>0.88888888888888884</v>
      </c>
      <c r="X432" s="83">
        <f t="shared" si="236"/>
        <v>-0.83636363636363631</v>
      </c>
      <c r="Y432" s="83" t="e">
        <f t="shared" si="236"/>
        <v>#DIV/0!</v>
      </c>
    </row>
    <row r="433" spans="2:25" x14ac:dyDescent="0.25">
      <c r="B433" s="54" t="s">
        <v>29</v>
      </c>
      <c r="C433" s="80">
        <v>2194</v>
      </c>
      <c r="D433" s="80">
        <v>1944</v>
      </c>
      <c r="E433" s="80">
        <v>2200</v>
      </c>
      <c r="F433" s="80">
        <v>1804</v>
      </c>
      <c r="G433" s="80">
        <v>1767</v>
      </c>
      <c r="H433" s="80">
        <v>1489</v>
      </c>
      <c r="I433" s="80"/>
      <c r="K433" s="84">
        <f t="shared" si="235"/>
        <v>2.4239611989437981E-2</v>
      </c>
      <c r="L433" s="84">
        <f t="shared" si="235"/>
        <v>2.0815041651497956E-2</v>
      </c>
      <c r="M433" s="84">
        <f t="shared" si="235"/>
        <v>2.2037463688270059E-2</v>
      </c>
      <c r="N433" s="84">
        <f t="shared" si="235"/>
        <v>1.7782158698866436E-2</v>
      </c>
      <c r="O433" s="84">
        <f t="shared" si="235"/>
        <v>1.7078899295386668E-2</v>
      </c>
      <c r="P433" s="84">
        <f t="shared" si="235"/>
        <v>1.2398827565533092E-2</v>
      </c>
      <c r="Q433" s="84"/>
      <c r="R433" s="63"/>
      <c r="S433" s="84">
        <f>RATE(5,0,-H433,C433)</f>
        <v>8.0608514301309969E-2</v>
      </c>
      <c r="T433" s="84">
        <f t="shared" si="232"/>
        <v>8.7878262416086469E-2</v>
      </c>
      <c r="U433" s="84">
        <f t="shared" si="236"/>
        <v>0.12860082304526749</v>
      </c>
      <c r="V433" s="84">
        <f t="shared" si="236"/>
        <v>-0.11636363636363636</v>
      </c>
      <c r="W433" s="84">
        <f t="shared" si="236"/>
        <v>0.21951219512195122</v>
      </c>
      <c r="X433" s="84">
        <f t="shared" si="236"/>
        <v>2.0939445387662705E-2</v>
      </c>
      <c r="Y433" s="84">
        <f t="shared" si="236"/>
        <v>0.18670248488918736</v>
      </c>
    </row>
    <row r="434" spans="2:25" x14ac:dyDescent="0.25">
      <c r="B434" s="54" t="s">
        <v>315</v>
      </c>
      <c r="C434" s="80">
        <f>-C403</f>
        <v>-125</v>
      </c>
      <c r="D434" s="80">
        <f t="shared" ref="D434:H434" si="237">-D403</f>
        <v>-133</v>
      </c>
      <c r="E434" s="80">
        <f t="shared" si="237"/>
        <v>-135</v>
      </c>
      <c r="F434" s="80">
        <f t="shared" si="237"/>
        <v>-147</v>
      </c>
      <c r="G434" s="80">
        <f t="shared" si="237"/>
        <v>0</v>
      </c>
      <c r="H434" s="80">
        <f t="shared" si="237"/>
        <v>0</v>
      </c>
      <c r="I434" s="80"/>
      <c r="K434" s="91"/>
      <c r="L434" s="91"/>
      <c r="M434" s="91"/>
      <c r="N434" s="91"/>
      <c r="O434" s="91"/>
      <c r="P434" s="91"/>
      <c r="Q434" s="91"/>
      <c r="R434" s="80"/>
      <c r="S434" s="91"/>
      <c r="T434" s="91"/>
      <c r="U434" s="91"/>
      <c r="V434" s="91"/>
      <c r="W434" s="91"/>
      <c r="X434" s="91"/>
      <c r="Y434" s="91"/>
    </row>
    <row r="435" spans="2:25" ht="15.75" thickBot="1" x14ac:dyDescent="0.3">
      <c r="B435" s="19" t="s">
        <v>29</v>
      </c>
      <c r="C435" s="74">
        <f>SUM(C429:C434)</f>
        <v>3218</v>
      </c>
      <c r="D435" s="74">
        <f t="shared" ref="D435:H435" si="238">SUM(D429:D434)</f>
        <v>3424</v>
      </c>
      <c r="E435" s="74">
        <f t="shared" si="238"/>
        <v>3386</v>
      </c>
      <c r="F435" s="74">
        <f t="shared" si="238"/>
        <v>2697</v>
      </c>
      <c r="G435" s="74">
        <f t="shared" si="238"/>
        <v>2952</v>
      </c>
      <c r="H435" s="74">
        <f t="shared" si="238"/>
        <v>2597</v>
      </c>
      <c r="I435" s="85"/>
      <c r="K435" s="83">
        <f>+C435/C$21</f>
        <v>3.5552904002739937E-2</v>
      </c>
      <c r="L435" s="83"/>
      <c r="M435" s="83"/>
      <c r="N435" s="83"/>
      <c r="O435" s="83"/>
      <c r="P435" s="83"/>
      <c r="Q435" s="83"/>
      <c r="S435" s="83"/>
      <c r="T435" s="83"/>
      <c r="U435" s="83"/>
      <c r="V435" s="83"/>
      <c r="W435" s="83"/>
      <c r="X435" s="83"/>
      <c r="Y435" s="83"/>
    </row>
    <row r="436" spans="2:25" ht="15.75" thickTop="1" x14ac:dyDescent="0.25">
      <c r="C436" s="80"/>
      <c r="D436" s="80"/>
      <c r="E436" s="80"/>
      <c r="F436" s="80"/>
      <c r="G436" s="80"/>
      <c r="H436" s="80"/>
      <c r="I436" s="80"/>
      <c r="K436" s="83"/>
      <c r="L436" s="83"/>
      <c r="M436" s="83"/>
      <c r="N436" s="83"/>
      <c r="O436" s="83"/>
      <c r="P436" s="83"/>
      <c r="Q436" s="83"/>
      <c r="S436" s="83"/>
      <c r="T436" s="83"/>
      <c r="U436" s="83"/>
      <c r="V436" s="83"/>
      <c r="W436" s="83"/>
      <c r="X436" s="83"/>
      <c r="Y436" s="83"/>
    </row>
    <row r="437" spans="2:25" x14ac:dyDescent="0.25">
      <c r="B437" s="54" t="s">
        <v>93</v>
      </c>
      <c r="C437" s="60">
        <v>10152</v>
      </c>
      <c r="D437" s="60">
        <v>10536</v>
      </c>
      <c r="E437" s="60">
        <v>11462</v>
      </c>
      <c r="F437" s="60">
        <v>11878</v>
      </c>
      <c r="G437" s="60">
        <v>12202</v>
      </c>
      <c r="H437" s="60">
        <v>14039</v>
      </c>
      <c r="I437" s="60"/>
      <c r="K437" s="83">
        <f t="shared" ref="K437:P440" si="239">+C437/C$21</f>
        <v>0.11216068410062643</v>
      </c>
      <c r="L437" s="83">
        <f t="shared" si="239"/>
        <v>0.11281238623466175</v>
      </c>
      <c r="M437" s="83">
        <f t="shared" si="239"/>
        <v>0.11481518581588701</v>
      </c>
      <c r="N437" s="83">
        <f t="shared" si="239"/>
        <v>0.11708230655495318</v>
      </c>
      <c r="O437" s="83">
        <f t="shared" si="239"/>
        <v>0.11793816027295309</v>
      </c>
      <c r="P437" s="83">
        <f t="shared" si="239"/>
        <v>0.11690204176797789</v>
      </c>
      <c r="Q437" s="83"/>
      <c r="S437" s="83">
        <f>RATE(5,0,-H437,C437)</f>
        <v>-6.2776678206707098E-2</v>
      </c>
      <c r="T437" s="83">
        <f t="shared" si="232"/>
        <v>-6.1932138628004139E-2</v>
      </c>
      <c r="U437" s="83">
        <f t="shared" ref="U437:Y440" si="240">(+C437-D437)/D437</f>
        <v>-3.644646924829157E-2</v>
      </c>
      <c r="V437" s="83">
        <f t="shared" si="240"/>
        <v>-8.0788693072762166E-2</v>
      </c>
      <c r="W437" s="83">
        <f t="shared" si="240"/>
        <v>-3.5022731099511699E-2</v>
      </c>
      <c r="X437" s="83">
        <f t="shared" si="240"/>
        <v>-2.6553024094410752E-2</v>
      </c>
      <c r="Y437" s="83">
        <f t="shared" si="240"/>
        <v>-0.13084977562504452</v>
      </c>
    </row>
    <row r="438" spans="2:25" x14ac:dyDescent="0.25">
      <c r="B438" s="54" t="s">
        <v>94</v>
      </c>
      <c r="C438" s="19">
        <v>144</v>
      </c>
      <c r="D438" s="19">
        <v>205</v>
      </c>
      <c r="E438" s="19">
        <v>243</v>
      </c>
      <c r="F438" s="19">
        <v>273</v>
      </c>
      <c r="G438" s="19">
        <v>306</v>
      </c>
      <c r="H438" s="19">
        <v>427</v>
      </c>
      <c r="K438" s="83">
        <f t="shared" si="239"/>
        <v>1.5909316893705876E-3</v>
      </c>
      <c r="L438" s="83">
        <f t="shared" si="239"/>
        <v>2.1950018202454118E-3</v>
      </c>
      <c r="M438" s="83">
        <f t="shared" si="239"/>
        <v>2.43413803465892E-3</v>
      </c>
      <c r="N438" s="83">
        <f t="shared" si="239"/>
        <v>2.6909807787087233E-3</v>
      </c>
      <c r="O438" s="83">
        <f t="shared" si="239"/>
        <v>2.9576362107460782E-3</v>
      </c>
      <c r="P438" s="83">
        <f t="shared" si="239"/>
        <v>3.5556073676847751E-3</v>
      </c>
      <c r="Q438" s="83"/>
      <c r="S438" s="83">
        <f>RATE(5,0,-H438,C438)</f>
        <v>-0.19538722547686657</v>
      </c>
      <c r="T438" s="83">
        <f t="shared" si="232"/>
        <v>-0.19100903778347836</v>
      </c>
      <c r="U438" s="83">
        <f t="shared" si="240"/>
        <v>-0.29756097560975608</v>
      </c>
      <c r="V438" s="83">
        <f t="shared" si="240"/>
        <v>-0.15637860082304528</v>
      </c>
      <c r="W438" s="83">
        <f t="shared" si="240"/>
        <v>-0.10989010989010989</v>
      </c>
      <c r="X438" s="83">
        <f t="shared" si="240"/>
        <v>-0.10784313725490197</v>
      </c>
      <c r="Y438" s="83">
        <f t="shared" si="240"/>
        <v>-0.28337236533957844</v>
      </c>
    </row>
    <row r="439" spans="2:25" x14ac:dyDescent="0.25">
      <c r="B439" s="54" t="s">
        <v>95</v>
      </c>
      <c r="C439" s="19">
        <v>1477</v>
      </c>
      <c r="D439" s="19">
        <v>1534</v>
      </c>
      <c r="E439" s="19">
        <v>0</v>
      </c>
      <c r="F439" s="19">
        <v>0</v>
      </c>
      <c r="G439" s="19">
        <v>0</v>
      </c>
      <c r="H439" s="19">
        <v>0</v>
      </c>
      <c r="K439" s="83">
        <f t="shared" si="239"/>
        <v>1.6318097952780265E-2</v>
      </c>
      <c r="L439" s="83">
        <f t="shared" si="239"/>
        <v>1.6425038011007132E-2</v>
      </c>
      <c r="M439" s="83">
        <f t="shared" si="239"/>
        <v>0</v>
      </c>
      <c r="N439" s="83">
        <f t="shared" si="239"/>
        <v>0</v>
      </c>
      <c r="O439" s="83">
        <f t="shared" si="239"/>
        <v>0</v>
      </c>
      <c r="P439" s="83">
        <f t="shared" si="239"/>
        <v>0</v>
      </c>
      <c r="Q439" s="83"/>
      <c r="S439" s="83" t="e">
        <f>RATE(5,0,-H439,C439)</f>
        <v>#NUM!</v>
      </c>
      <c r="T439" s="83" t="e">
        <f t="shared" si="232"/>
        <v>#DIV/0!</v>
      </c>
      <c r="U439" s="83">
        <f t="shared" si="240"/>
        <v>-3.7157757496740544E-2</v>
      </c>
      <c r="V439" s="83" t="e">
        <f t="shared" si="240"/>
        <v>#DIV/0!</v>
      </c>
      <c r="W439" s="83" t="e">
        <f t="shared" si="240"/>
        <v>#DIV/0!</v>
      </c>
      <c r="X439" s="83" t="e">
        <f t="shared" si="240"/>
        <v>#DIV/0!</v>
      </c>
      <c r="Y439" s="83" t="e">
        <f t="shared" si="240"/>
        <v>#DIV/0!</v>
      </c>
    </row>
    <row r="440" spans="2:25" x14ac:dyDescent="0.25">
      <c r="B440" s="54" t="s">
        <v>96</v>
      </c>
      <c r="C440" s="19">
        <v>1609</v>
      </c>
      <c r="D440" s="19">
        <v>1542</v>
      </c>
      <c r="E440" s="19">
        <v>1751</v>
      </c>
      <c r="F440" s="19">
        <v>1459</v>
      </c>
      <c r="G440" s="19">
        <v>902</v>
      </c>
      <c r="H440" s="19">
        <v>1088</v>
      </c>
      <c r="K440" s="84">
        <f t="shared" si="239"/>
        <v>1.7776452001369968E-2</v>
      </c>
      <c r="L440" s="84">
        <f t="shared" si="239"/>
        <v>1.6510696618626464E-2</v>
      </c>
      <c r="M440" s="84">
        <f t="shared" si="239"/>
        <v>1.7539817690073123E-2</v>
      </c>
      <c r="N440" s="84">
        <f t="shared" si="239"/>
        <v>1.4381468703794973E-2</v>
      </c>
      <c r="O440" s="84">
        <f t="shared" si="239"/>
        <v>8.7182609872319041E-3</v>
      </c>
      <c r="P440" s="84">
        <f t="shared" si="239"/>
        <v>9.0597208806581613E-3</v>
      </c>
      <c r="Q440" s="84"/>
      <c r="R440" s="63"/>
      <c r="S440" s="84">
        <f>RATE(5,0,-H440,C440)</f>
        <v>8.1397670613528067E-2</v>
      </c>
      <c r="T440" s="84">
        <f t="shared" si="232"/>
        <v>0.11415750537922809</v>
      </c>
      <c r="U440" s="84">
        <f t="shared" si="240"/>
        <v>4.3450064850843059E-2</v>
      </c>
      <c r="V440" s="84">
        <f t="shared" si="240"/>
        <v>-0.11936036550542548</v>
      </c>
      <c r="W440" s="84">
        <f t="shared" si="240"/>
        <v>0.20013708019191226</v>
      </c>
      <c r="X440" s="84">
        <f t="shared" si="240"/>
        <v>0.6175166297117517</v>
      </c>
      <c r="Y440" s="84">
        <f t="shared" si="240"/>
        <v>-0.17095588235294118</v>
      </c>
    </row>
    <row r="441" spans="2:25" x14ac:dyDescent="0.25">
      <c r="B441" s="54" t="s">
        <v>316</v>
      </c>
      <c r="C441" s="19">
        <f>-C404</f>
        <v>-585</v>
      </c>
      <c r="D441" s="19">
        <f t="shared" ref="D441:H441" si="241">-D404</f>
        <v>-484</v>
      </c>
      <c r="E441" s="19">
        <f t="shared" si="241"/>
        <v>-475</v>
      </c>
      <c r="F441" s="19">
        <f t="shared" si="241"/>
        <v>-454</v>
      </c>
      <c r="G441" s="19">
        <f t="shared" si="241"/>
        <v>0</v>
      </c>
      <c r="H441" s="19">
        <f t="shared" si="241"/>
        <v>0</v>
      </c>
      <c r="K441" s="91"/>
      <c r="L441" s="91"/>
      <c r="M441" s="91"/>
      <c r="N441" s="91"/>
      <c r="O441" s="91"/>
      <c r="P441" s="91"/>
      <c r="Q441" s="91"/>
      <c r="R441" s="80"/>
      <c r="S441" s="91"/>
      <c r="T441" s="91"/>
      <c r="U441" s="91"/>
      <c r="V441" s="91"/>
      <c r="W441" s="91"/>
      <c r="X441" s="91"/>
      <c r="Y441" s="91"/>
    </row>
    <row r="442" spans="2:25" ht="15.75" thickBot="1" x14ac:dyDescent="0.3">
      <c r="B442" s="19" t="s">
        <v>317</v>
      </c>
      <c r="C442" s="74">
        <f>SUM(C437:C441)</f>
        <v>12797</v>
      </c>
      <c r="D442" s="74">
        <f t="shared" ref="D442:H442" si="242">SUM(D437:D441)</f>
        <v>13333</v>
      </c>
      <c r="E442" s="74">
        <f t="shared" si="242"/>
        <v>12981</v>
      </c>
      <c r="F442" s="74">
        <f t="shared" si="242"/>
        <v>13156</v>
      </c>
      <c r="G442" s="74">
        <f t="shared" si="242"/>
        <v>13410</v>
      </c>
      <c r="H442" s="74">
        <f t="shared" si="242"/>
        <v>15554</v>
      </c>
      <c r="I442" s="85"/>
    </row>
    <row r="443" spans="2:25" ht="15.75" thickTop="1" x14ac:dyDescent="0.25"/>
    <row r="444" spans="2:25" x14ac:dyDescent="0.25">
      <c r="B444" s="54" t="s">
        <v>100</v>
      </c>
      <c r="C444" s="60">
        <v>12</v>
      </c>
      <c r="D444" s="60">
        <v>12</v>
      </c>
      <c r="E444" s="60">
        <v>12</v>
      </c>
      <c r="F444" s="60">
        <v>12</v>
      </c>
      <c r="G444" s="60">
        <v>12</v>
      </c>
      <c r="H444" s="60">
        <v>12</v>
      </c>
      <c r="I444" s="60"/>
      <c r="K444" s="83">
        <f t="shared" ref="K444:P450" si="243">+C444/C$21</f>
        <v>1.3257764078088231E-4</v>
      </c>
      <c r="L444" s="83">
        <f t="shared" si="243"/>
        <v>1.2848791142899973E-4</v>
      </c>
      <c r="M444" s="83">
        <f t="shared" si="243"/>
        <v>1.2020434739056396E-4</v>
      </c>
      <c r="N444" s="83">
        <f t="shared" si="243"/>
        <v>1.1828486939379004E-4</v>
      </c>
      <c r="O444" s="83">
        <f t="shared" si="243"/>
        <v>1.1598573375474817E-4</v>
      </c>
      <c r="P444" s="83">
        <f t="shared" si="243"/>
        <v>9.9923392066082669E-5</v>
      </c>
      <c r="Q444" s="83"/>
      <c r="S444" s="83">
        <f t="shared" ref="S444:S450" si="244">RATE(5,0,-H444,C444)</f>
        <v>1.1505115232739206E-16</v>
      </c>
      <c r="T444" s="83">
        <f t="shared" ref="T444:T450" si="245">AVERAGE(U444:Y444)</f>
        <v>0</v>
      </c>
      <c r="U444" s="83">
        <f t="shared" ref="U444:Y450" si="246">(+C444-D444)/D444</f>
        <v>0</v>
      </c>
      <c r="V444" s="83">
        <f t="shared" si="246"/>
        <v>0</v>
      </c>
      <c r="W444" s="83">
        <f t="shared" si="246"/>
        <v>0</v>
      </c>
      <c r="X444" s="83">
        <f t="shared" si="246"/>
        <v>0</v>
      </c>
      <c r="Y444" s="83">
        <f t="shared" si="246"/>
        <v>0</v>
      </c>
    </row>
    <row r="445" spans="2:25" x14ac:dyDescent="0.25">
      <c r="B445" s="54" t="s">
        <v>101</v>
      </c>
      <c r="C445" s="19">
        <v>51834</v>
      </c>
      <c r="D445" s="19">
        <v>53379</v>
      </c>
      <c r="E445" s="19">
        <v>55096</v>
      </c>
      <c r="F445" s="19">
        <v>56828</v>
      </c>
      <c r="G445" s="19">
        <v>58723</v>
      </c>
      <c r="H445" s="19">
        <v>58634</v>
      </c>
      <c r="K445" s="83">
        <f t="shared" si="243"/>
        <v>0.57266911935302112</v>
      </c>
      <c r="L445" s="83">
        <f t="shared" si="243"/>
        <v>0.57154635201404802</v>
      </c>
      <c r="M445" s="83">
        <f t="shared" si="243"/>
        <v>0.55189822698587598</v>
      </c>
      <c r="N445" s="83">
        <f t="shared" si="243"/>
        <v>0.56015771315919172</v>
      </c>
      <c r="O445" s="83">
        <f t="shared" si="243"/>
        <v>0.56758585360667302</v>
      </c>
      <c r="P445" s="83">
        <f t="shared" si="243"/>
        <v>0.48824234753355761</v>
      </c>
      <c r="Q445" s="83"/>
      <c r="S445" s="83">
        <f t="shared" si="244"/>
        <v>-2.4352265709732968E-2</v>
      </c>
      <c r="T445" s="83">
        <f t="shared" si="245"/>
        <v>-2.4267589205706836E-2</v>
      </c>
      <c r="U445" s="83">
        <f t="shared" si="246"/>
        <v>-2.8943966728488733E-2</v>
      </c>
      <c r="V445" s="83">
        <f t="shared" si="246"/>
        <v>-3.1163786844780019E-2</v>
      </c>
      <c r="W445" s="83">
        <f t="shared" si="246"/>
        <v>-3.0477933413106215E-2</v>
      </c>
      <c r="X445" s="83">
        <f t="shared" si="246"/>
        <v>-3.2270149685813057E-2</v>
      </c>
      <c r="Y445" s="83">
        <f t="shared" si="246"/>
        <v>1.5178906436538527E-3</v>
      </c>
    </row>
    <row r="446" spans="2:25" x14ac:dyDescent="0.25">
      <c r="B446" s="54" t="s">
        <v>102</v>
      </c>
      <c r="C446" s="19">
        <v>489</v>
      </c>
      <c r="D446" s="19">
        <v>-1682</v>
      </c>
      <c r="E446" s="19">
        <v>-2694</v>
      </c>
      <c r="F446" s="19">
        <v>-3060</v>
      </c>
      <c r="G446" s="19">
        <v>-4853</v>
      </c>
      <c r="H446" s="19">
        <v>8495</v>
      </c>
      <c r="K446" s="83">
        <f t="shared" si="243"/>
        <v>5.4025388618209541E-3</v>
      </c>
      <c r="L446" s="83">
        <f t="shared" si="243"/>
        <v>-1.8009722251964795E-2</v>
      </c>
      <c r="M446" s="83">
        <f t="shared" si="243"/>
        <v>-2.6985875989181608E-2</v>
      </c>
      <c r="N446" s="83">
        <f t="shared" si="243"/>
        <v>-3.0162641695416461E-2</v>
      </c>
      <c r="O446" s="83">
        <f t="shared" si="243"/>
        <v>-4.6906563825982739E-2</v>
      </c>
      <c r="P446" s="83">
        <f t="shared" si="243"/>
        <v>7.0737434633447685E-2</v>
      </c>
      <c r="Q446" s="83"/>
      <c r="S446" s="83">
        <f t="shared" si="244"/>
        <v>-0.43502517645517697</v>
      </c>
      <c r="T446" s="83">
        <f t="shared" si="245"/>
        <v>-0.7453444344093002</v>
      </c>
      <c r="U446" s="83">
        <f t="shared" si="246"/>
        <v>-1.2907253269916765</v>
      </c>
      <c r="V446" s="83">
        <f t="shared" si="246"/>
        <v>-0.37564959168522644</v>
      </c>
      <c r="W446" s="83">
        <f t="shared" si="246"/>
        <v>-0.11960784313725491</v>
      </c>
      <c r="X446" s="83">
        <f t="shared" si="246"/>
        <v>-0.36946218833711109</v>
      </c>
      <c r="Y446" s="83">
        <f t="shared" si="246"/>
        <v>-1.5712772218952324</v>
      </c>
    </row>
    <row r="447" spans="2:25" x14ac:dyDescent="0.25">
      <c r="B447" s="54" t="s">
        <v>103</v>
      </c>
      <c r="C447" s="19">
        <v>-2810</v>
      </c>
      <c r="D447" s="19">
        <v>-1824</v>
      </c>
      <c r="E447" s="19">
        <v>-1967</v>
      </c>
      <c r="F447" s="19">
        <v>-1886</v>
      </c>
      <c r="G447" s="19">
        <v>-1943</v>
      </c>
      <c r="H447" s="19">
        <v>-1054</v>
      </c>
      <c r="K447" s="83">
        <f t="shared" si="243"/>
        <v>-3.104526421618994E-2</v>
      </c>
      <c r="L447" s="83">
        <f t="shared" si="243"/>
        <v>-1.9530162537207959E-2</v>
      </c>
      <c r="M447" s="83">
        <f t="shared" si="243"/>
        <v>-1.9703495943103274E-2</v>
      </c>
      <c r="N447" s="83">
        <f t="shared" si="243"/>
        <v>-1.8590438639724E-2</v>
      </c>
      <c r="O447" s="83">
        <f t="shared" si="243"/>
        <v>-1.8780023390456306E-2</v>
      </c>
      <c r="P447" s="83">
        <f t="shared" si="243"/>
        <v>-8.776604603137594E-3</v>
      </c>
      <c r="Q447" s="83"/>
      <c r="S447" s="83">
        <f t="shared" si="244"/>
        <v>0.21667095873235825</v>
      </c>
      <c r="T447" s="83">
        <f t="shared" si="245"/>
        <v>0.26498722067421782</v>
      </c>
      <c r="U447" s="83">
        <f t="shared" si="246"/>
        <v>0.54057017543859653</v>
      </c>
      <c r="V447" s="83">
        <f t="shared" si="246"/>
        <v>-7.2699542450432128E-2</v>
      </c>
      <c r="W447" s="83">
        <f t="shared" si="246"/>
        <v>4.2948038176033931E-2</v>
      </c>
      <c r="X447" s="83">
        <f t="shared" si="246"/>
        <v>-2.9336078229541946E-2</v>
      </c>
      <c r="Y447" s="83">
        <f t="shared" si="246"/>
        <v>0.84345351043643269</v>
      </c>
    </row>
    <row r="448" spans="2:25" x14ac:dyDescent="0.25">
      <c r="B448" s="54" t="s">
        <v>104</v>
      </c>
      <c r="C448" s="19">
        <v>-847</v>
      </c>
      <c r="D448" s="19">
        <v>-587</v>
      </c>
      <c r="E448" s="19">
        <v>-344</v>
      </c>
      <c r="F448" s="19">
        <v>-271</v>
      </c>
      <c r="G448" s="19">
        <v>-282</v>
      </c>
      <c r="H448" s="19">
        <v>-224</v>
      </c>
      <c r="K448" s="83">
        <f t="shared" si="243"/>
        <v>-9.357771811783943E-3</v>
      </c>
      <c r="L448" s="83">
        <f t="shared" si="243"/>
        <v>-6.28520033406857E-3</v>
      </c>
      <c r="M448" s="83">
        <f t="shared" si="243"/>
        <v>-3.4458579585295002E-3</v>
      </c>
      <c r="N448" s="83">
        <f t="shared" si="243"/>
        <v>-2.6712666338097584E-3</v>
      </c>
      <c r="O448" s="83">
        <f t="shared" si="243"/>
        <v>-2.7256647432365817E-3</v>
      </c>
      <c r="P448" s="83">
        <f t="shared" si="243"/>
        <v>-1.8652366519002097E-3</v>
      </c>
      <c r="Q448" s="83"/>
      <c r="S448" s="83">
        <f t="shared" si="244"/>
        <v>0.30474931763943724</v>
      </c>
      <c r="T448" s="83">
        <f t="shared" si="245"/>
        <v>0.32772393502322256</v>
      </c>
      <c r="U448" s="83">
        <f t="shared" si="246"/>
        <v>0.44293015332197616</v>
      </c>
      <c r="V448" s="83">
        <f t="shared" si="246"/>
        <v>0.70639534883720934</v>
      </c>
      <c r="W448" s="83">
        <f t="shared" si="246"/>
        <v>0.26937269372693728</v>
      </c>
      <c r="X448" s="83">
        <f t="shared" si="246"/>
        <v>-3.9007092198581561E-2</v>
      </c>
      <c r="Y448" s="83">
        <f t="shared" si="246"/>
        <v>0.25892857142857145</v>
      </c>
    </row>
    <row r="449" spans="2:25" x14ac:dyDescent="0.25">
      <c r="B449" s="54" t="s">
        <v>105</v>
      </c>
      <c r="C449" s="19">
        <v>152</v>
      </c>
      <c r="D449" s="19">
        <v>150</v>
      </c>
      <c r="E449" s="19">
        <v>140</v>
      </c>
      <c r="F449" s="19">
        <v>126</v>
      </c>
      <c r="G449" s="19">
        <v>118</v>
      </c>
      <c r="H449" s="19">
        <v>207</v>
      </c>
      <c r="K449" s="84">
        <f t="shared" si="243"/>
        <v>1.6793167832245093E-3</v>
      </c>
      <c r="L449" s="84">
        <f t="shared" si="243"/>
        <v>1.6060988928624964E-3</v>
      </c>
      <c r="M449" s="84">
        <f t="shared" si="243"/>
        <v>1.4023840528899129E-3</v>
      </c>
      <c r="N449" s="84">
        <f t="shared" si="243"/>
        <v>1.2419911286347955E-3</v>
      </c>
      <c r="O449" s="84">
        <f t="shared" si="243"/>
        <v>1.1405263819216902E-3</v>
      </c>
      <c r="P449" s="84">
        <f t="shared" si="243"/>
        <v>1.7236785131399261E-3</v>
      </c>
      <c r="Q449" s="84"/>
      <c r="R449" s="63"/>
      <c r="S449" s="84">
        <f t="shared" si="244"/>
        <v>-5.9898710260960809E-2</v>
      </c>
      <c r="T449" s="84">
        <f t="shared" si="245"/>
        <v>-3.3256412955749735E-2</v>
      </c>
      <c r="U449" s="84">
        <f t="shared" si="246"/>
        <v>1.3333333333333334E-2</v>
      </c>
      <c r="V449" s="84">
        <f t="shared" si="246"/>
        <v>7.1428571428571425E-2</v>
      </c>
      <c r="W449" s="84">
        <f t="shared" si="246"/>
        <v>0.1111111111111111</v>
      </c>
      <c r="X449" s="84">
        <f t="shared" si="246"/>
        <v>6.7796610169491525E-2</v>
      </c>
      <c r="Y449" s="84">
        <f t="shared" si="246"/>
        <v>-0.42995169082125606</v>
      </c>
    </row>
    <row r="450" spans="2:25" ht="15.75" thickBot="1" x14ac:dyDescent="0.3">
      <c r="B450" s="19" t="s">
        <v>106</v>
      </c>
      <c r="C450" s="74">
        <f>SUM(C444:C449)</f>
        <v>48830</v>
      </c>
      <c r="D450" s="74">
        <f t="shared" ref="D450:H450" si="247">SUM(D444:D449)</f>
        <v>49448</v>
      </c>
      <c r="E450" s="74">
        <f t="shared" si="247"/>
        <v>50243</v>
      </c>
      <c r="F450" s="74">
        <f t="shared" si="247"/>
        <v>51749</v>
      </c>
      <c r="G450" s="74">
        <f t="shared" si="247"/>
        <v>51775</v>
      </c>
      <c r="H450" s="74">
        <f t="shared" si="247"/>
        <v>66070</v>
      </c>
      <c r="I450" s="85"/>
      <c r="K450" s="83">
        <f t="shared" si="243"/>
        <v>0.53948051661087359</v>
      </c>
      <c r="L450" s="83">
        <f t="shared" si="243"/>
        <v>0.52945585369509818</v>
      </c>
      <c r="M450" s="83">
        <f t="shared" si="243"/>
        <v>0.50328558549534208</v>
      </c>
      <c r="N450" s="83">
        <f t="shared" si="243"/>
        <v>0.51009364218827014</v>
      </c>
      <c r="O450" s="83">
        <f t="shared" si="243"/>
        <v>0.50043011376267388</v>
      </c>
      <c r="P450" s="83">
        <f t="shared" si="243"/>
        <v>0.55016154281717355</v>
      </c>
      <c r="Q450" s="83"/>
      <c r="S450" s="83">
        <f t="shared" si="244"/>
        <v>-5.8681739699202047E-2</v>
      </c>
      <c r="T450" s="83">
        <f t="shared" si="245"/>
        <v>-5.4857339349412525E-2</v>
      </c>
      <c r="U450" s="83">
        <f t="shared" si="246"/>
        <v>-1.2497977673515612E-2</v>
      </c>
      <c r="V450" s="83">
        <f t="shared" si="246"/>
        <v>-1.5823099735286509E-2</v>
      </c>
      <c r="W450" s="83">
        <f t="shared" si="246"/>
        <v>-2.9102011633075034E-2</v>
      </c>
      <c r="X450" s="83">
        <f t="shared" si="246"/>
        <v>-5.0217286335103818E-4</v>
      </c>
      <c r="Y450" s="83">
        <f t="shared" si="246"/>
        <v>-0.21636143484183443</v>
      </c>
    </row>
    <row r="451" spans="2:25" ht="15.75" thickTop="1" x14ac:dyDescent="0.25"/>
    <row r="452" spans="2:25" x14ac:dyDescent="0.25">
      <c r="B452" s="54" t="s">
        <v>318</v>
      </c>
      <c r="C452" s="60">
        <v>3575</v>
      </c>
      <c r="D452" s="60">
        <v>3588</v>
      </c>
      <c r="E452" s="60">
        <v>3650</v>
      </c>
      <c r="F452" s="60">
        <v>3178</v>
      </c>
      <c r="G452" s="60">
        <v>3190</v>
      </c>
      <c r="H452" s="60">
        <v>2927</v>
      </c>
      <c r="K452" s="83">
        <f t="shared" ref="K452:P455" si="248">+C452/C$60</f>
        <v>0.13498206531999246</v>
      </c>
      <c r="L452" s="83">
        <f t="shared" si="248"/>
        <v>0.13777743644881346</v>
      </c>
      <c r="M452" s="83">
        <f t="shared" si="248"/>
        <v>0.13939278212717204</v>
      </c>
      <c r="N452" s="83">
        <f t="shared" si="248"/>
        <v>0.12723705809344596</v>
      </c>
      <c r="O452" s="83">
        <f t="shared" si="248"/>
        <v>0.12144053601340034</v>
      </c>
      <c r="P452" s="83">
        <f t="shared" si="248"/>
        <v>0.11224881116735695</v>
      </c>
      <c r="Q452" s="83"/>
      <c r="S452" s="83">
        <f t="shared" ref="S452:S455" si="249">RATE(5,0,-H452,C452)</f>
        <v>4.080810314999915E-2</v>
      </c>
      <c r="T452" s="83">
        <f t="shared" ref="T452:T455" si="250">AVERAGE(U452:Y452)</f>
        <v>4.2800585816641215E-2</v>
      </c>
      <c r="U452" s="83">
        <f>(+C452-D452)/D452</f>
        <v>-3.6231884057971015E-3</v>
      </c>
      <c r="V452" s="83">
        <f>(+D452-E452)/E452</f>
        <v>-1.6986301369863014E-2</v>
      </c>
      <c r="W452" s="83">
        <f>(+E452-F452)/F452</f>
        <v>0.1485210824417873</v>
      </c>
      <c r="X452" s="83">
        <f>(+F452-G452)/G452</f>
        <v>-3.761755485893417E-3</v>
      </c>
      <c r="Y452" s="83">
        <f>(+G452-H452)/H452</f>
        <v>8.9853091902972332E-2</v>
      </c>
    </row>
    <row r="453" spans="2:25" x14ac:dyDescent="0.25">
      <c r="B453" s="54" t="s">
        <v>319</v>
      </c>
      <c r="C453" s="19">
        <f>-C391</f>
        <v>-127</v>
      </c>
      <c r="D453" s="19">
        <f t="shared" ref="D453:H453" si="251">-D391</f>
        <v>-140</v>
      </c>
      <c r="E453" s="19">
        <f t="shared" si="251"/>
        <v>-119</v>
      </c>
      <c r="F453" s="19">
        <f t="shared" si="251"/>
        <v>-112</v>
      </c>
      <c r="G453" s="19">
        <f t="shared" si="251"/>
        <v>-109</v>
      </c>
      <c r="H453" s="19">
        <f t="shared" si="251"/>
        <v>-93</v>
      </c>
      <c r="K453" s="83">
        <f t="shared" si="248"/>
        <v>-4.7951670757032279E-3</v>
      </c>
      <c r="L453" s="83">
        <f t="shared" si="248"/>
        <v>-5.3759311880807927E-3</v>
      </c>
      <c r="M453" s="83">
        <f t="shared" si="248"/>
        <v>-4.544586595379034E-3</v>
      </c>
      <c r="N453" s="83">
        <f t="shared" si="248"/>
        <v>-4.4841253953637342E-3</v>
      </c>
      <c r="O453" s="83">
        <f t="shared" si="248"/>
        <v>-4.1495355565707324E-3</v>
      </c>
      <c r="P453" s="83">
        <f t="shared" si="248"/>
        <v>-3.5664979291302346E-3</v>
      </c>
      <c r="Q453" s="83"/>
      <c r="S453" s="83">
        <f t="shared" si="249"/>
        <v>6.4300226266165716E-2</v>
      </c>
      <c r="T453" s="83">
        <f t="shared" si="250"/>
        <v>6.91358783821312E-2</v>
      </c>
      <c r="U453" s="83">
        <f t="shared" ref="U453:Y455" si="252">(+C453-D453)/D453</f>
        <v>-9.285714285714286E-2</v>
      </c>
      <c r="V453" s="83">
        <f t="shared" si="252"/>
        <v>0.17647058823529413</v>
      </c>
      <c r="W453" s="83">
        <f t="shared" si="252"/>
        <v>6.25E-2</v>
      </c>
      <c r="X453" s="83">
        <f t="shared" si="252"/>
        <v>2.7522935779816515E-2</v>
      </c>
      <c r="Y453" s="83">
        <f t="shared" si="252"/>
        <v>0.17204301075268819</v>
      </c>
    </row>
    <row r="454" spans="2:25" x14ac:dyDescent="0.25">
      <c r="B454" s="54" t="s">
        <v>320</v>
      </c>
      <c r="C454" s="19">
        <f>-C390</f>
        <v>-945</v>
      </c>
      <c r="D454" s="19">
        <f t="shared" ref="D454:H454" si="253">-D390</f>
        <v>-1039</v>
      </c>
      <c r="E454" s="19">
        <f t="shared" si="253"/>
        <v>-1070</v>
      </c>
      <c r="F454" s="19">
        <f t="shared" si="253"/>
        <v>-1100</v>
      </c>
      <c r="G454" s="19">
        <f t="shared" si="253"/>
        <v>-1140</v>
      </c>
      <c r="H454" s="19">
        <f t="shared" si="253"/>
        <v>-1115</v>
      </c>
      <c r="K454" s="83">
        <f t="shared" si="248"/>
        <v>-3.568057390976024E-2</v>
      </c>
      <c r="L454" s="83">
        <f t="shared" si="248"/>
        <v>-3.9897089317256738E-2</v>
      </c>
      <c r="M454" s="83">
        <f t="shared" si="248"/>
        <v>-4.0863089555088793E-2</v>
      </c>
      <c r="N454" s="83">
        <f t="shared" si="248"/>
        <v>-4.4040517275893823E-2</v>
      </c>
      <c r="O454" s="83">
        <f t="shared" si="248"/>
        <v>-4.3398812243033345E-2</v>
      </c>
      <c r="P454" s="83">
        <f t="shared" si="248"/>
        <v>-4.2759625709464642E-2</v>
      </c>
      <c r="Q454" s="83"/>
      <c r="S454" s="83">
        <f t="shared" si="249"/>
        <v>-3.254363055898047E-2</v>
      </c>
      <c r="T454" s="83">
        <f t="shared" si="250"/>
        <v>-3.1876498367768777E-2</v>
      </c>
      <c r="U454" s="83">
        <f t="shared" si="252"/>
        <v>-9.0471607314725699E-2</v>
      </c>
      <c r="V454" s="83">
        <f t="shared" si="252"/>
        <v>-2.897196261682243E-2</v>
      </c>
      <c r="W454" s="83">
        <f t="shared" si="252"/>
        <v>-2.7272727272727271E-2</v>
      </c>
      <c r="X454" s="83">
        <f t="shared" si="252"/>
        <v>-3.5087719298245612E-2</v>
      </c>
      <c r="Y454" s="83">
        <f t="shared" si="252"/>
        <v>2.2421524663677129E-2</v>
      </c>
    </row>
    <row r="455" spans="2:25" ht="15.75" thickBot="1" x14ac:dyDescent="0.3">
      <c r="B455" s="19" t="s">
        <v>321</v>
      </c>
      <c r="C455" s="74">
        <f>SUM(C452:C454)</f>
        <v>2503</v>
      </c>
      <c r="D455" s="74">
        <f t="shared" ref="D455:H455" si="254">SUM(D452:D454)</f>
        <v>2409</v>
      </c>
      <c r="E455" s="74">
        <f t="shared" si="254"/>
        <v>2461</v>
      </c>
      <c r="F455" s="74">
        <f t="shared" si="254"/>
        <v>1966</v>
      </c>
      <c r="G455" s="74">
        <f t="shared" si="254"/>
        <v>1941</v>
      </c>
      <c r="H455" s="74">
        <f t="shared" si="254"/>
        <v>1719</v>
      </c>
      <c r="K455" s="83">
        <f t="shared" si="248"/>
        <v>9.4506324334528977E-2</v>
      </c>
      <c r="L455" s="83">
        <f t="shared" si="248"/>
        <v>9.2504415943475929E-2</v>
      </c>
      <c r="M455" s="83">
        <f t="shared" si="248"/>
        <v>9.3985105976704217E-2</v>
      </c>
      <c r="N455" s="83">
        <f t="shared" si="248"/>
        <v>7.8712415422188417E-2</v>
      </c>
      <c r="O455" s="83">
        <f t="shared" si="248"/>
        <v>7.3892188213796256E-2</v>
      </c>
      <c r="P455" s="83">
        <f t="shared" si="248"/>
        <v>6.5922687528762083E-2</v>
      </c>
      <c r="Q455" s="83"/>
      <c r="S455" s="83">
        <f t="shared" si="249"/>
        <v>7.8045260485801612E-2</v>
      </c>
      <c r="T455" s="83">
        <f t="shared" si="250"/>
        <v>8.2339158644776006E-2</v>
      </c>
      <c r="U455" s="83">
        <f t="shared" si="252"/>
        <v>3.9020340390203405E-2</v>
      </c>
      <c r="V455" s="83">
        <f t="shared" si="252"/>
        <v>-2.1129622104835433E-2</v>
      </c>
      <c r="W455" s="83">
        <f t="shared" si="252"/>
        <v>0.25178026449643948</v>
      </c>
      <c r="X455" s="83">
        <f t="shared" si="252"/>
        <v>1.287995878413189E-2</v>
      </c>
      <c r="Y455" s="83">
        <f t="shared" si="252"/>
        <v>0.12914485165794065</v>
      </c>
    </row>
    <row r="456" spans="2:25" ht="15.75" thickTop="1" x14ac:dyDescent="0.25"/>
    <row r="457" spans="2:25" x14ac:dyDescent="0.25">
      <c r="B457" s="126" t="s">
        <v>471</v>
      </c>
      <c r="C457" s="127"/>
      <c r="D457" s="127"/>
      <c r="E457" s="127"/>
      <c r="F457" s="127"/>
      <c r="G457" s="127"/>
      <c r="H457" s="127"/>
    </row>
    <row r="458" spans="2:25" x14ac:dyDescent="0.25">
      <c r="B458" s="126" t="s">
        <v>510</v>
      </c>
      <c r="C458" s="126"/>
      <c r="D458" s="126"/>
      <c r="E458" s="126"/>
      <c r="F458" s="126"/>
      <c r="G458" s="126"/>
      <c r="H458" s="126"/>
    </row>
    <row r="459" spans="2:25" x14ac:dyDescent="0.25">
      <c r="B459" s="126" t="s">
        <v>64</v>
      </c>
      <c r="C459" s="126"/>
      <c r="D459" s="126"/>
      <c r="E459" s="126"/>
      <c r="F459" s="126"/>
      <c r="G459" s="126"/>
      <c r="H459" s="126"/>
    </row>
    <row r="460" spans="2:25" ht="15.75" thickBot="1" x14ac:dyDescent="0.3">
      <c r="B460" s="128" t="s">
        <v>479</v>
      </c>
      <c r="C460" s="129">
        <v>2022</v>
      </c>
      <c r="D460" s="129">
        <v>2021</v>
      </c>
      <c r="E460" s="129">
        <v>2020</v>
      </c>
      <c r="F460" s="129">
        <v>2019</v>
      </c>
      <c r="G460" s="129">
        <v>2018</v>
      </c>
      <c r="H460" s="129">
        <v>2017</v>
      </c>
    </row>
    <row r="461" spans="2:25" x14ac:dyDescent="0.25">
      <c r="B461" t="s">
        <v>276</v>
      </c>
      <c r="C461" s="60">
        <v>2363</v>
      </c>
      <c r="D461" s="60">
        <v>1012</v>
      </c>
      <c r="E461" s="60">
        <v>356</v>
      </c>
      <c r="F461" s="60">
        <v>1935</v>
      </c>
      <c r="G461" s="60">
        <v>-10192</v>
      </c>
      <c r="H461" s="60">
        <v>10941</v>
      </c>
    </row>
    <row r="462" spans="2:25" x14ac:dyDescent="0.25">
      <c r="B462" t="s">
        <v>480</v>
      </c>
    </row>
    <row r="463" spans="2:25" x14ac:dyDescent="0.25">
      <c r="B463" s="113" t="s">
        <v>481</v>
      </c>
      <c r="C463" s="19">
        <v>444</v>
      </c>
      <c r="D463" s="19">
        <v>318</v>
      </c>
      <c r="E463" s="19">
        <v>2300</v>
      </c>
      <c r="F463" s="19">
        <v>1200</v>
      </c>
      <c r="G463" s="19">
        <v>7008</v>
      </c>
      <c r="H463" s="19">
        <v>0</v>
      </c>
    </row>
    <row r="464" spans="2:25" x14ac:dyDescent="0.25">
      <c r="B464" s="113" t="s">
        <v>482</v>
      </c>
      <c r="C464" s="19">
        <v>469</v>
      </c>
      <c r="D464" s="19">
        <v>1316</v>
      </c>
      <c r="E464" s="19">
        <v>1100</v>
      </c>
      <c r="F464" s="19">
        <v>702</v>
      </c>
      <c r="G464" s="19">
        <v>8928</v>
      </c>
      <c r="H464" s="19">
        <v>49</v>
      </c>
    </row>
    <row r="465" spans="2:9" x14ac:dyDescent="0.25">
      <c r="B465" s="113" t="s">
        <v>483</v>
      </c>
      <c r="C465" s="63">
        <v>86</v>
      </c>
      <c r="D465" s="63">
        <v>0</v>
      </c>
      <c r="E465" s="63">
        <v>14</v>
      </c>
      <c r="F465" s="63">
        <v>0</v>
      </c>
      <c r="G465" s="63">
        <v>0</v>
      </c>
      <c r="H465" s="63">
        <v>0</v>
      </c>
    </row>
    <row r="466" spans="2:9" x14ac:dyDescent="0.25">
      <c r="B466" s="113" t="s">
        <v>484</v>
      </c>
    </row>
    <row r="467" spans="2:9" x14ac:dyDescent="0.25">
      <c r="B467" s="114" t="s">
        <v>485</v>
      </c>
      <c r="C467" s="19">
        <v>-499.71698113207549</v>
      </c>
      <c r="D467" s="19">
        <v>0</v>
      </c>
      <c r="E467" s="19">
        <v>0</v>
      </c>
      <c r="F467" s="19">
        <v>0</v>
      </c>
      <c r="G467" s="19">
        <v>0</v>
      </c>
      <c r="H467" s="19">
        <v>0</v>
      </c>
    </row>
    <row r="468" spans="2:9" x14ac:dyDescent="0.25">
      <c r="B468" s="114" t="s">
        <v>486</v>
      </c>
      <c r="C468" s="63">
        <v>346.47169811320754</v>
      </c>
      <c r="D468" s="63">
        <v>0</v>
      </c>
      <c r="E468" s="63">
        <v>0</v>
      </c>
      <c r="F468" s="63">
        <v>0</v>
      </c>
      <c r="G468" s="63">
        <v>0</v>
      </c>
      <c r="H468" s="63">
        <v>0</v>
      </c>
    </row>
    <row r="469" spans="2:9" x14ac:dyDescent="0.25">
      <c r="B469" s="113" t="s">
        <v>487</v>
      </c>
    </row>
    <row r="470" spans="2:9" x14ac:dyDescent="0.25">
      <c r="B470" s="114" t="s">
        <v>488</v>
      </c>
      <c r="C470" s="19">
        <v>-38</v>
      </c>
      <c r="D470" s="19">
        <v>0</v>
      </c>
      <c r="E470" s="19">
        <v>0</v>
      </c>
      <c r="F470" s="19">
        <v>0</v>
      </c>
      <c r="G470" s="19">
        <v>0</v>
      </c>
      <c r="H470" s="19">
        <v>0</v>
      </c>
    </row>
    <row r="471" spans="2:9" x14ac:dyDescent="0.25">
      <c r="B471" s="114" t="s">
        <v>489</v>
      </c>
      <c r="C471" s="19">
        <v>0</v>
      </c>
      <c r="D471" s="19">
        <v>0</v>
      </c>
      <c r="E471" s="19">
        <v>0</v>
      </c>
      <c r="F471" s="19">
        <v>1</v>
      </c>
      <c r="G471" s="19">
        <v>3</v>
      </c>
      <c r="H471" s="19">
        <v>0</v>
      </c>
    </row>
    <row r="472" spans="2:9" x14ac:dyDescent="0.25">
      <c r="B472" s="114" t="s">
        <v>490</v>
      </c>
      <c r="C472" s="19">
        <v>0</v>
      </c>
      <c r="D472" s="19">
        <v>0</v>
      </c>
      <c r="E472" s="19">
        <v>0</v>
      </c>
      <c r="F472" s="19">
        <v>6</v>
      </c>
      <c r="G472" s="19">
        <v>17</v>
      </c>
      <c r="H472" s="19">
        <v>0</v>
      </c>
    </row>
    <row r="473" spans="2:9" x14ac:dyDescent="0.25">
      <c r="B473" s="61" t="s">
        <v>491</v>
      </c>
      <c r="C473" s="19">
        <v>9</v>
      </c>
      <c r="D473" s="19">
        <v>11</v>
      </c>
      <c r="E473" s="19">
        <v>8</v>
      </c>
      <c r="F473" s="19">
        <v>19</v>
      </c>
      <c r="G473" s="19">
        <v>19</v>
      </c>
      <c r="H473" s="19">
        <v>0</v>
      </c>
      <c r="I473"/>
    </row>
    <row r="474" spans="2:9" x14ac:dyDescent="0.25">
      <c r="B474" s="114" t="s">
        <v>492</v>
      </c>
      <c r="C474" s="63">
        <v>0</v>
      </c>
      <c r="D474" s="63">
        <v>0</v>
      </c>
      <c r="E474" s="63">
        <v>0</v>
      </c>
      <c r="F474" s="63">
        <v>0</v>
      </c>
      <c r="G474" s="63">
        <v>4</v>
      </c>
      <c r="H474" s="63">
        <v>0</v>
      </c>
      <c r="I474"/>
    </row>
    <row r="475" spans="2:9" x14ac:dyDescent="0.25">
      <c r="B475" s="54" t="s">
        <v>493</v>
      </c>
      <c r="I475"/>
    </row>
    <row r="476" spans="2:9" x14ac:dyDescent="0.25">
      <c r="B476" s="114" t="s">
        <v>494</v>
      </c>
      <c r="C476" s="19">
        <v>27</v>
      </c>
      <c r="D476" s="19">
        <v>13</v>
      </c>
      <c r="E476" s="19">
        <v>-20</v>
      </c>
      <c r="F476" s="19">
        <v>48</v>
      </c>
      <c r="G476" s="19">
        <v>194</v>
      </c>
      <c r="H476" s="19">
        <v>464</v>
      </c>
      <c r="I476"/>
    </row>
    <row r="477" spans="2:9" x14ac:dyDescent="0.25">
      <c r="B477" s="114" t="s">
        <v>495</v>
      </c>
      <c r="C477" s="19">
        <v>47</v>
      </c>
      <c r="D477" s="19">
        <v>70</v>
      </c>
      <c r="E477" s="19">
        <v>35</v>
      </c>
      <c r="F477" s="19">
        <v>54</v>
      </c>
      <c r="G477" s="19">
        <v>103</v>
      </c>
      <c r="H477" s="19">
        <v>119</v>
      </c>
      <c r="I477"/>
    </row>
    <row r="478" spans="2:9" x14ac:dyDescent="0.25">
      <c r="B478" s="114" t="s">
        <v>496</v>
      </c>
      <c r="C478" s="63">
        <v>0</v>
      </c>
      <c r="D478" s="63">
        <v>1</v>
      </c>
      <c r="E478" s="63">
        <v>-17</v>
      </c>
      <c r="F478" s="63">
        <v>6</v>
      </c>
      <c r="G478" s="63">
        <v>163</v>
      </c>
      <c r="H478" s="63">
        <v>145</v>
      </c>
      <c r="I478"/>
    </row>
    <row r="479" spans="2:9" x14ac:dyDescent="0.25">
      <c r="B479" s="54" t="s">
        <v>497</v>
      </c>
      <c r="C479" s="19">
        <v>63</v>
      </c>
      <c r="D479" s="19">
        <v>17</v>
      </c>
      <c r="E479" s="19">
        <v>-6</v>
      </c>
      <c r="F479" s="19">
        <v>57</v>
      </c>
      <c r="G479" s="19">
        <v>21</v>
      </c>
      <c r="H479" s="19">
        <v>19</v>
      </c>
      <c r="I479"/>
    </row>
    <row r="480" spans="2:9" x14ac:dyDescent="0.25">
      <c r="B480" s="54" t="s">
        <v>498</v>
      </c>
      <c r="C480" s="19">
        <v>-38</v>
      </c>
      <c r="D480" s="19">
        <v>-917</v>
      </c>
      <c r="E480" s="19">
        <v>124</v>
      </c>
      <c r="F480" s="19">
        <v>-98</v>
      </c>
      <c r="G480" s="19">
        <v>0</v>
      </c>
      <c r="H480" s="19">
        <v>0</v>
      </c>
      <c r="I480"/>
    </row>
    <row r="481" spans="2:9" x14ac:dyDescent="0.25">
      <c r="B481" s="54" t="s">
        <v>499</v>
      </c>
      <c r="C481" s="19">
        <v>-26</v>
      </c>
      <c r="D481" s="19">
        <v>-44</v>
      </c>
      <c r="E481" s="19">
        <v>2</v>
      </c>
      <c r="F481" s="19">
        <v>-420</v>
      </c>
      <c r="G481" s="19">
        <v>15</v>
      </c>
      <c r="H481" s="19">
        <v>0</v>
      </c>
      <c r="I481"/>
    </row>
    <row r="482" spans="2:9" ht="15.75" thickBot="1" x14ac:dyDescent="0.3">
      <c r="B482" s="54" t="s">
        <v>500</v>
      </c>
      <c r="C482" s="64">
        <v>210</v>
      </c>
      <c r="D482" s="115">
        <v>62</v>
      </c>
      <c r="E482" s="115">
        <v>0</v>
      </c>
      <c r="F482" s="115">
        <v>0</v>
      </c>
      <c r="G482" s="115">
        <v>0</v>
      </c>
      <c r="H482" s="115">
        <v>0</v>
      </c>
      <c r="I482"/>
    </row>
    <row r="483" spans="2:9" ht="15.75" thickTop="1" x14ac:dyDescent="0.25">
      <c r="B483"/>
      <c r="C483"/>
      <c r="D483"/>
      <c r="E483"/>
      <c r="F483"/>
      <c r="G483"/>
      <c r="H483"/>
      <c r="I483"/>
    </row>
    <row r="484" spans="2:9" x14ac:dyDescent="0.25">
      <c r="B484" s="54" t="s">
        <v>501</v>
      </c>
      <c r="C484" s="60">
        <v>1099.7547169811321</v>
      </c>
      <c r="D484" s="60">
        <v>847</v>
      </c>
      <c r="E484" s="60">
        <v>3540</v>
      </c>
      <c r="F484" s="60">
        <v>1575</v>
      </c>
      <c r="G484" s="60">
        <v>16475</v>
      </c>
      <c r="H484" s="60">
        <v>796</v>
      </c>
      <c r="I484"/>
    </row>
    <row r="485" spans="2:9" x14ac:dyDescent="0.25">
      <c r="B485" s="54" t="s">
        <v>502</v>
      </c>
      <c r="C485" s="19">
        <v>-274.93867924528303</v>
      </c>
      <c r="D485" s="19">
        <v>-211.75</v>
      </c>
      <c r="E485" s="19">
        <v>-885</v>
      </c>
      <c r="F485" s="19">
        <v>-393.75</v>
      </c>
      <c r="G485" s="19">
        <v>-4118.75</v>
      </c>
      <c r="H485" s="19">
        <v>-199</v>
      </c>
      <c r="I485"/>
    </row>
    <row r="486" spans="2:9" x14ac:dyDescent="0.25">
      <c r="B486" s="54" t="s">
        <v>399</v>
      </c>
      <c r="C486" s="116">
        <v>824.81603773584902</v>
      </c>
      <c r="D486" s="116">
        <v>635.25</v>
      </c>
      <c r="E486" s="116">
        <v>2655</v>
      </c>
      <c r="F486" s="116">
        <v>1181.25</v>
      </c>
      <c r="G486" s="116">
        <v>12356.25</v>
      </c>
      <c r="H486" s="116">
        <v>597</v>
      </c>
      <c r="I486"/>
    </row>
    <row r="487" spans="2:9" x14ac:dyDescent="0.25">
      <c r="B487" s="54" t="s">
        <v>503</v>
      </c>
      <c r="C487" s="63">
        <v>-357.5</v>
      </c>
      <c r="D487" s="63">
        <v>257</v>
      </c>
      <c r="E487" s="63">
        <v>411.5</v>
      </c>
      <c r="F487" s="63">
        <v>62.75</v>
      </c>
      <c r="G487" s="63">
        <v>1763.25</v>
      </c>
      <c r="H487" s="63">
        <v>-6844.5</v>
      </c>
      <c r="I487"/>
    </row>
    <row r="488" spans="2:9" x14ac:dyDescent="0.25">
      <c r="B488" s="62" t="s">
        <v>400</v>
      </c>
      <c r="C488" s="117">
        <v>467.31603773584902</v>
      </c>
      <c r="D488" s="117">
        <v>892.25</v>
      </c>
      <c r="E488" s="117">
        <v>3066.5</v>
      </c>
      <c r="F488" s="117">
        <v>1244</v>
      </c>
      <c r="G488" s="117">
        <v>14119.5</v>
      </c>
      <c r="H488" s="117">
        <v>-6247.5</v>
      </c>
      <c r="I488"/>
    </row>
    <row r="489" spans="2:9" ht="15.75" thickBot="1" x14ac:dyDescent="0.3">
      <c r="B489" s="62" t="s">
        <v>205</v>
      </c>
      <c r="C489" s="74">
        <f>C461+C488</f>
        <v>2830.316037735849</v>
      </c>
      <c r="D489" s="74">
        <f t="shared" ref="D489:H489" si="255">D461+D488</f>
        <v>1904.25</v>
      </c>
      <c r="E489" s="74">
        <f t="shared" si="255"/>
        <v>3422.5</v>
      </c>
      <c r="F489" s="74">
        <f t="shared" si="255"/>
        <v>3179</v>
      </c>
      <c r="G489" s="74">
        <f t="shared" si="255"/>
        <v>3927.5</v>
      </c>
      <c r="H489" s="74">
        <f t="shared" si="255"/>
        <v>4693.5</v>
      </c>
      <c r="I489" s="118">
        <f>RATE(5,0,-H489,+C489)</f>
        <v>-9.6209812184919447E-2</v>
      </c>
    </row>
    <row r="490" spans="2:9" ht="15.75" thickTop="1" x14ac:dyDescent="0.25">
      <c r="B490"/>
      <c r="C490"/>
      <c r="D490"/>
      <c r="E490"/>
      <c r="F490"/>
      <c r="G490"/>
      <c r="H490"/>
      <c r="I490"/>
    </row>
    <row r="491" spans="2:9" x14ac:dyDescent="0.25">
      <c r="B491" t="s">
        <v>504</v>
      </c>
      <c r="C491" s="119">
        <v>1.9133603238866397</v>
      </c>
      <c r="D491" s="119">
        <v>0.81877022653721687</v>
      </c>
      <c r="E491" s="119">
        <v>0.28990228013029318</v>
      </c>
      <c r="F491" s="119">
        <v>1.5808823529411764</v>
      </c>
      <c r="G491" s="119">
        <v>-8.3609515996718624</v>
      </c>
      <c r="H491" s="119">
        <v>8.9096091205211732</v>
      </c>
      <c r="I491"/>
    </row>
    <row r="492" spans="2:9" x14ac:dyDescent="0.25">
      <c r="B492" t="s">
        <v>505</v>
      </c>
      <c r="C492" s="120">
        <f>C493-C491</f>
        <v>0.37839355282254994</v>
      </c>
      <c r="D492" s="120">
        <f t="shared" ref="D492:H492" si="256">D493-D491</f>
        <v>0.72188511326860827</v>
      </c>
      <c r="E492" s="120">
        <f t="shared" si="256"/>
        <v>2.4971498371335503</v>
      </c>
      <c r="F492" s="120">
        <f t="shared" si="256"/>
        <v>1.0163398692810459</v>
      </c>
      <c r="G492" s="120">
        <f t="shared" si="256"/>
        <v>11.582854799015587</v>
      </c>
      <c r="H492" s="120">
        <f t="shared" si="256"/>
        <v>-5.0875407166123789</v>
      </c>
      <c r="I492"/>
    </row>
    <row r="493" spans="2:9" ht="15.75" thickBot="1" x14ac:dyDescent="0.3">
      <c r="B493" t="s">
        <v>401</v>
      </c>
      <c r="C493" s="121">
        <f t="shared" ref="C493:H493" si="257">C489/C80</f>
        <v>2.2917538767091896</v>
      </c>
      <c r="D493" s="121">
        <f t="shared" si="257"/>
        <v>1.5406553398058251</v>
      </c>
      <c r="E493" s="121">
        <f t="shared" si="257"/>
        <v>2.7870521172638436</v>
      </c>
      <c r="F493" s="121">
        <f t="shared" si="257"/>
        <v>2.5972222222222223</v>
      </c>
      <c r="G493" s="121">
        <f t="shared" si="257"/>
        <v>3.2219031993437244</v>
      </c>
      <c r="H493" s="121">
        <f t="shared" si="257"/>
        <v>3.8220684039087947</v>
      </c>
      <c r="I493" s="118">
        <f>RATE(5,0,-H493,+C493)</f>
        <v>-9.7236682442660857E-2</v>
      </c>
    </row>
    <row r="494" spans="2:9" ht="15.75" thickTop="1" x14ac:dyDescent="0.25">
      <c r="B494"/>
      <c r="C494"/>
      <c r="D494"/>
      <c r="E494"/>
      <c r="F494"/>
      <c r="G494"/>
      <c r="H494"/>
      <c r="I494"/>
    </row>
    <row r="495" spans="2:9" x14ac:dyDescent="0.25">
      <c r="B495" t="s">
        <v>506</v>
      </c>
      <c r="C495" s="83">
        <v>0.20161834120026972</v>
      </c>
      <c r="D495" s="83">
        <v>0.40046838407494145</v>
      </c>
      <c r="E495" s="83">
        <v>0.64951456310679612</v>
      </c>
      <c r="F495" s="83">
        <v>0.27358136039083053</v>
      </c>
      <c r="G495" s="83">
        <v>9.4249624591467185E-2</v>
      </c>
      <c r="H495" s="83">
        <v>-1.0058715596330274</v>
      </c>
      <c r="I495"/>
    </row>
    <row r="496" spans="2:9" x14ac:dyDescent="0.25">
      <c r="B496" t="s">
        <v>507</v>
      </c>
      <c r="C496" s="84">
        <v>0.25</v>
      </c>
      <c r="D496" s="84">
        <v>0.25</v>
      </c>
      <c r="E496" s="84">
        <v>0.25</v>
      </c>
      <c r="F496" s="84">
        <v>0.25</v>
      </c>
      <c r="G496" s="84">
        <v>0.25</v>
      </c>
      <c r="H496" s="84">
        <v>0.25</v>
      </c>
      <c r="I496"/>
    </row>
    <row r="497" spans="2:9" x14ac:dyDescent="0.25">
      <c r="B497" t="s">
        <v>508</v>
      </c>
      <c r="C497" s="122">
        <v>811.5</v>
      </c>
      <c r="D497" s="122">
        <v>427</v>
      </c>
      <c r="E497" s="122">
        <v>257.5</v>
      </c>
      <c r="F497" s="122">
        <v>665.25</v>
      </c>
      <c r="G497" s="122">
        <v>-2830.25</v>
      </c>
      <c r="H497" s="122">
        <v>1362.5</v>
      </c>
      <c r="I497"/>
    </row>
    <row r="498" spans="2:9" x14ac:dyDescent="0.25">
      <c r="B498" t="s">
        <v>509</v>
      </c>
      <c r="C498" s="63">
        <v>454</v>
      </c>
      <c r="D498" s="63">
        <v>684</v>
      </c>
      <c r="E498" s="63">
        <v>669</v>
      </c>
      <c r="F498" s="63">
        <v>728</v>
      </c>
      <c r="G498" s="63">
        <v>-1067</v>
      </c>
      <c r="H498" s="63">
        <v>-5482</v>
      </c>
      <c r="I498"/>
    </row>
    <row r="499" spans="2:9" ht="15.75" thickBot="1" x14ac:dyDescent="0.3">
      <c r="B499" t="s">
        <v>207</v>
      </c>
      <c r="C499" s="123">
        <v>-357.5</v>
      </c>
      <c r="D499" s="123">
        <v>257</v>
      </c>
      <c r="E499" s="123">
        <v>411.5</v>
      </c>
      <c r="F499" s="123">
        <v>62.75</v>
      </c>
      <c r="G499" s="123">
        <v>1763.25</v>
      </c>
      <c r="H499" s="123">
        <v>-6844.5</v>
      </c>
      <c r="I499"/>
    </row>
    <row r="500" spans="2:9" ht="15.75" thickTop="1" x14ac:dyDescent="0.25">
      <c r="B500"/>
      <c r="C500"/>
      <c r="D500"/>
      <c r="E500"/>
      <c r="F500"/>
      <c r="G500"/>
      <c r="H500"/>
      <c r="I500"/>
    </row>
    <row r="501" spans="2:9" x14ac:dyDescent="0.25">
      <c r="B501" s="19" t="s">
        <v>108</v>
      </c>
      <c r="C501" s="19">
        <v>1243</v>
      </c>
      <c r="D501" s="19">
        <v>1235</v>
      </c>
      <c r="E501" s="19">
        <v>1228</v>
      </c>
      <c r="F501" s="19">
        <v>1224</v>
      </c>
      <c r="G501" s="19">
        <v>1224</v>
      </c>
      <c r="H501" s="19">
        <v>1221</v>
      </c>
      <c r="I501"/>
    </row>
    <row r="502" spans="2:9" x14ac:dyDescent="0.25">
      <c r="B502" s="19" t="s">
        <v>109</v>
      </c>
      <c r="C502" s="19">
        <v>-18</v>
      </c>
      <c r="D502" s="19">
        <v>-11</v>
      </c>
      <c r="E502" s="19">
        <v>-5</v>
      </c>
      <c r="F502" s="19">
        <v>-3</v>
      </c>
      <c r="G502" s="19">
        <v>-4</v>
      </c>
      <c r="H502" s="19">
        <v>-2</v>
      </c>
      <c r="I502"/>
    </row>
    <row r="503" spans="2:9" ht="15.75" thickBot="1" x14ac:dyDescent="0.3">
      <c r="B503" s="19" t="s">
        <v>110</v>
      </c>
      <c r="C503" s="87">
        <v>1225</v>
      </c>
      <c r="D503" s="87">
        <v>1224</v>
      </c>
      <c r="E503" s="87">
        <v>1223</v>
      </c>
      <c r="F503" s="87">
        <v>1221</v>
      </c>
      <c r="G503" s="87">
        <v>1220</v>
      </c>
      <c r="H503" s="87">
        <v>1219</v>
      </c>
      <c r="I503"/>
    </row>
    <row r="504" spans="2:9" ht="15.75" thickTop="1" x14ac:dyDescent="0.25">
      <c r="B504" s="19" t="s">
        <v>273</v>
      </c>
      <c r="C504" s="24">
        <v>38.130000000000003</v>
      </c>
      <c r="D504" s="24">
        <v>39.22</v>
      </c>
      <c r="E504" s="24">
        <v>36.380000000000003</v>
      </c>
      <c r="F504" s="24">
        <v>24.77</v>
      </c>
      <c r="G504" s="24">
        <v>33.19</v>
      </c>
      <c r="H504" s="24">
        <v>67.14</v>
      </c>
      <c r="I504" s="118">
        <v>-0.10698841363458024</v>
      </c>
    </row>
    <row r="505" spans="2:9" x14ac:dyDescent="0.25">
      <c r="B505" s="19" t="s">
        <v>111</v>
      </c>
      <c r="C505" s="60">
        <v>46709.25</v>
      </c>
      <c r="D505" s="60">
        <v>48005.279999999999</v>
      </c>
      <c r="E505" s="60">
        <v>44492.740000000005</v>
      </c>
      <c r="F505" s="60">
        <v>30244.17</v>
      </c>
      <c r="G505" s="60">
        <v>40491.799999999996</v>
      </c>
      <c r="H505" s="60">
        <v>81843.66</v>
      </c>
    </row>
    <row r="3757" spans="2:2" x14ac:dyDescent="0.25">
      <c r="B3757" s="19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Heinz-Kraft Merger</vt:lpstr>
      <vt:lpstr>As Reported</vt:lpstr>
      <vt:lpstr>Reclassified</vt:lpstr>
      <vt:lpstr>Cash flow profile</vt:lpstr>
      <vt:lpstr>Liquidity</vt:lpstr>
      <vt:lpstr>Cap. Structure</vt:lpstr>
      <vt:lpstr>Profitability</vt:lpstr>
      <vt:lpstr>NICO+Recommendation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McCoy</dc:creator>
  <cp:keywords/>
  <dc:description/>
  <cp:lastModifiedBy>Paul McCoy</cp:lastModifiedBy>
  <cp:revision/>
  <dcterms:created xsi:type="dcterms:W3CDTF">2023-07-25T11:58:41Z</dcterms:created>
  <dcterms:modified xsi:type="dcterms:W3CDTF">2025-10-31T01:34:02Z</dcterms:modified>
  <cp:category/>
  <cp:contentStatus/>
</cp:coreProperties>
</file>